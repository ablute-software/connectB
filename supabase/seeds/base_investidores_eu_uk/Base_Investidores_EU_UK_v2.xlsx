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42e5f9ad0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0ad8cb6f1b8425d"/>
    <x:sheet xmlns:r="http://schemas.openxmlformats.org/officeDocument/2006/relationships" name="Cobertura" sheetId="2" r:id="R62a664ff7edc433d"/>
    <x:sheet xmlns:r="http://schemas.openxmlformats.org/officeDocument/2006/relationships" name="Investidores" sheetId="3" r:id="R939e08734c2540bf"/>
    <x:sheet xmlns:r="http://schemas.openxmlformats.org/officeDocument/2006/relationships" name="Pessoas" sheetId="4" r:id="R8d8be56d09e049f5"/>
    <x:sheet xmlns:r="http://schemas.openxmlformats.org/officeDocument/2006/relationships" name="Conteudos_Hooks" sheetId="5" r:id="Rfb2cf746a128452f"/>
    <x:sheet xmlns:r="http://schemas.openxmlformats.org/officeDocument/2006/relationships" name="Sinais_Pessoais" sheetId="6" r:id="R4dda4e13ca5b4a6a"/>
    <x:sheet xmlns:r="http://schemas.openxmlformats.org/officeDocument/2006/relationships" name="Fontes" sheetId="7" r:id="R4817882b75f147e7"/>
    <x:sheet xmlns:r="http://schemas.openxmlformats.org/officeDocument/2006/relationships" name="Metodo" sheetId="8" r:id="R76b32fe5671a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12">
    <x:font>
      <x:sz val="11"/>
      <x:name val="Carlito"/>
    </x:font>
    <x:font>
      <x:b/>
      <x:sz val="18"/>
      <x:color rgb="FFFFFFFF"/>
      <x:name val="Arial"/>
    </x:font>
    <x:font>
      <x:i/>
      <x:sz val="10"/>
      <x:color rgb="FF0F2747"/>
      <x:name val="Arial"/>
    </x:font>
    <x:font>
      <x:b/>
      <x:sz val="11"/>
      <x:color rgb="FF0F2747"/>
      <x:name val="Arial"/>
    </x:font>
    <x:font>
      <x:b/>
      <x:sz val="11"/>
      <x:color rgb="FFFFFFFF"/>
      <x:name val="Arial"/>
    </x:font>
    <x:font>
      <x:sz val="11"/>
      <x:color rgb="FF344054"/>
      <x:name val="Arial"/>
    </x:font>
    <x:font>
      <x:b/>
      <x:sz val="10"/>
      <x:color rgb="FF7A4E00"/>
      <x:name val="Arial"/>
    </x:font>
    <x:font>
      <x:sz val="10"/>
      <x:name val="Arial"/>
    </x:font>
    <x:font>
      <x:sz val="9"/>
      <x:name val="Arial"/>
    </x:font>
    <x:font>
      <x:b/>
      <x:sz val="9"/>
      <x:color rgb="FFFFFFFF"/>
      <x:name val="Arial"/>
    </x:font>
    <x:font>
      <x:sz val="9"/>
      <x:color rgb="FF1D2939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8"/>
      </x:patternFill>
    </x:fill>
    <x:fill>
      <x:patternFill patternType="solid">
        <x:fgColor rgb="FF1F5D8F"/>
      </x:patternFill>
    </x:fill>
    <x:fill>
      <x:patternFill patternType="solid">
        <x:fgColor rgb="FFF8FAFC"/>
      </x:patternFill>
    </x:fill>
    <x:fill>
      <x:patternFill patternType="solid">
        <x:fgColor rgb="FFFFF4CC"/>
      </x:patternFill>
    </x:fill>
  </x:fills>
  <x:borders count="11">
    <x:border/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  <x:border>
      <x:left style="thin">
        <x:color rgb="FFB8C4D1"/>
      </x:left>
      <x:top style="thin">
        <x:color rgb="FFB8C4D1"/>
      </x:top>
    </x:border>
    <x:border>
      <x:top style="thin">
        <x:color rgb="FFB8C4D1"/>
      </x:top>
    </x:border>
    <x:border>
      <x:right style="thin">
        <x:color rgb="FFB8C4D1"/>
      </x:right>
      <x:top style="thin">
        <x:color rgb="FFB8C4D1"/>
      </x:top>
    </x:border>
    <x:border>
      <x:left style="thin">
        <x:color rgb="FFB8C4D1"/>
      </x:left>
    </x:border>
    <x:border>
      <x:right style="thin">
        <x:color rgb="FFB8C4D1"/>
      </x:right>
    </x:border>
    <x:border>
      <x:left style="thin">
        <x:color rgb="FFB8C4D1"/>
      </x:left>
      <x:bottom style="thin">
        <x:color rgb="FFB8C4D1"/>
      </x:bottom>
    </x:border>
    <x:border>
      <x:bottom style="thin">
        <x:color rgb="FFB8C4D1"/>
      </x:bottom>
    </x:border>
    <x:border>
      <x:right style="thin">
        <x:color rgb="FFB8C4D1"/>
      </x:right>
      <x:bottom style="thin">
        <x:color rgb="FFB8C4D1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10" xfId="0" applyNumberFormat="1" applyFont="1" applyFill="1" applyBorder="1"/>
    <x:xf numFmtId="0" fontId="8" fillId="0" borderId="1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2" borderId="10" xfId="0" applyNumberFormat="1" applyFont="1" applyFill="1" applyBorder="1" applyAlignment="1">
      <x:alignment vertical="top" wrapText="1"/>
    </x:xf>
    <x:xf numFmtId="0" fontId="9" fillId="2" borderId="10" xfId="0" applyNumberFormat="1" applyFont="1" applyFill="1" applyBorder="1" applyAlignment="1">
      <x:alignment vertical="top" wrapText="1"/>
    </x:xf>
    <x:xf numFmtId="0" fontId="9" fillId="2" borderId="10" xfId="0" applyNumberFormat="1" applyFont="1" applyFill="1" applyBorder="1" applyAlignment="1">
      <x:alignment vertical="center" wrapText="1"/>
    </x:xf>
    <x:xf numFmtId="200" fontId="10" fillId="0" borderId="10" xfId="0" applyNumberFormat="1" applyFont="1" applyFill="1" applyBorder="1" applyAlignment="1">
      <x:alignment vertical="top" wrapText="1"/>
    </x:xf>
    <x:xf numFmtId="201" fontId="10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1" fillId="2" borderId="10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/>
    <x:xf numFmtId="0" fontId="0" fillId="0" borderId="10" xfId="0" applyNumberFormat="1" applyFont="1" applyFill="1" applyBorder="1"/>
    <x:xf numFmtId="0" fontId="0" fillId="5" borderId="10" xfId="0" applyNumberFormat="1" applyFont="1" applyFill="1" applyBorder="1"/>
    <x:xf numFmtId="0" fontId="7" fillId="5" borderId="10" xfId="0" applyNumberFormat="1" applyFont="1" applyFill="1" applyBorder="1"/>
    <x:xf numFmtId="0" fontId="7" fillId="5" borderId="1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E5F4EA"/>
        </x:patternFill>
      </x:fill>
    </x:dxf>
    <x:dxf>
      <x:font>
        <x:color rgb="FF7A4E00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E5F4EA"/>
        </x:patternFill>
      </x:fill>
    </x:dxf>
    <x:dxf>
      <x:font>
        <x:b/>
        <x:color rgb="FF166534"/>
      </x:font>
      <x:fill>
        <x:patternFill patternType="solid">
          <x:bgColor rgb="FFE5F4EA"/>
        </x:patternFill>
      </x:fill>
    </x:dxf>
    <x:dxf>
      <x:font>
        <x:color rgb="FF7A4E00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E5F4EA"/>
        </x:patternFill>
      </x:fill>
    </x:dxf>
    <x:dxf>
      <x:font>
        <x:color rgb="FF166534"/>
      </x:font>
      <x:fill>
        <x:patternFill patternType="solid">
          <x:bgColor rgb="FFE5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b1dc1aa60486b" /><Relationship Type="http://schemas.openxmlformats.org/officeDocument/2006/relationships/theme" Target="/xl/theme/theme1.xml" Id="R5ef7d7dd109c48e9" /><Relationship Type="http://schemas.openxmlformats.org/officeDocument/2006/relationships/sharedStrings" Target="/xl/sharedStrings.xml" Id="R43de2e408628485c" /><Relationship Type="http://schemas.openxmlformats.org/officeDocument/2006/relationships/worksheet" Target="/xl/worksheets/sheet1.xml" Id="R80ad8cb6f1b8425d" /><Relationship Type="http://schemas.openxmlformats.org/officeDocument/2006/relationships/worksheet" Target="/xl/worksheets/sheet2.xml" Id="R62a664ff7edc433d" /><Relationship Type="http://schemas.openxmlformats.org/officeDocument/2006/relationships/worksheet" Target="/xl/worksheets/sheet3.xml" Id="R939e08734c2540bf" /><Relationship Type="http://schemas.openxmlformats.org/officeDocument/2006/relationships/worksheet" Target="/xl/worksheets/sheet4.xml" Id="R8d8be56d09e049f5" /><Relationship Type="http://schemas.openxmlformats.org/officeDocument/2006/relationships/worksheet" Target="/xl/worksheets/sheet5.xml" Id="Rfb2cf746a128452f" /><Relationship Type="http://schemas.openxmlformats.org/officeDocument/2006/relationships/worksheet" Target="/xl/worksheets/sheet6.xml" Id="R4dda4e13ca5b4a6a" /><Relationship Type="http://schemas.openxmlformats.org/officeDocument/2006/relationships/worksheet" Target="/xl/worksheets/sheet7.xml" Id="R4817882b75f147e7" /><Relationship Type="http://schemas.openxmlformats.org/officeDocument/2006/relationships/worksheet" Target="/xl/worksheets/sheet8.xml" Id="R76b32fe5671a44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f02017ae4449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Cobertura por investidor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Pessoas</c:v>
          </c:tx>
          <c:cat>
            <c:strRef>
              <c:f>'Cobertura'!$B$2:$B$36</c:f>
              <c:strCache>
                <c:ptCount val="0"/>
              </c:strCache>
            </c:strRef>
          </c:cat>
          <c:val>
            <c:numRef>
              <c:f>'Cobertura'!$C$2:$C$36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Perfis_Enriquecidos</c:v>
          </c:tx>
          <c:cat>
            <c:strRef>
              <c:f>'Cobertura'!$B$2:$B$36</c:f>
              <c:strCache>
                <c:ptCount val="0"/>
              </c:strCache>
            </c:strRef>
          </c:cat>
          <c:val>
            <c:numRef>
              <c:f>'Cobertura'!$E$2:$E$36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f02017ae4449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Table" displayName="CoverageTable" ref="A1:F36" headerRowCount="1" totalsRowCount="0" totalsRowShown="0">
  <x:tableColumns count="6">
    <x:tableColumn id="1" name="ID_Investidor"/>
    <x:tableColumn id="2" name="Investidor"/>
    <x:tableColumn id="3" name="Pessoas"/>
    <x:tableColumn id="4" name="Decisores"/>
    <x:tableColumn id="5" name="Perfis_Enriquecidos"/>
    <x:tableColumn id="6" name="Conteudos_Hoo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storsTable" displayName="InvestorsTable" ref="A1:X36" headerRowCount="1" totalsRowCount="0" totalsRowShown="0">
  <x:autoFilter ref="A1:X36"/>
  <x:tableColumns count="24">
    <x:tableColumn id="1" name="ID_Investidor"/>
    <x:tableColumn id="2" name="Nome"/>
    <x:tableColumn id="3" name="Tipo"/>
    <x:tableColumn id="4" name="Website"/>
    <x:tableColumn id="5" name="País_Sede"/>
    <x:tableColumn id="6" name="Cidades"/>
    <x:tableColumn id="7" name="Estágios"/>
    <x:tableColumn id="8" name="Ticket_Min_M"/>
    <x:tableColumn id="9" name="Ticket_Max_M"/>
    <x:tableColumn id="10" name="Moeda"/>
    <x:tableColumn id="11" name="Ticket_Notas"/>
    <x:tableColumn id="12" name="Setores"/>
    <x:tableColumn id="13" name="Modelos"/>
    <x:tableColumn id="14" name="Geografia_Startups"/>
    <x:tableColumn id="15" name="Lidera_Rondas"/>
    <x:tableColumn id="16" name="Tese"/>
    <x:tableColumn id="17" name="Critérios"/>
    <x:tableColumn id="18" name="Contacto_Geral"/>
    <x:tableColumn id="19" name="Envio_Pitch"/>
    <x:tableColumn id="20" name="Fonte_Tese"/>
    <x:tableColumn id="21" name="Fonte_Equipa"/>
    <x:tableColumn id="22" name="Data_Verificação"/>
    <x:tableColumn id="23" name="Confiança"/>
    <x:tableColumn id="24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opleTable" displayName="PeopleTable" ref="A1:V249" headerRowCount="1" totalsRowCount="0" totalsRowShown="0">
  <x:autoFilter ref="A1:V249"/>
  <x:tableColumns count="22">
    <x:tableColumn id="1" name="ID_Pessoa"/>
    <x:tableColumn id="2" name="ID_Investidor"/>
    <x:tableColumn id="3" name="Investidor"/>
    <x:tableColumn id="4" name="Nome"/>
    <x:tableColumn id="5" name="Cargo_Atual"/>
    <x:tableColumn id="6" name="Decisor"/>
    <x:tableColumn id="7" name="Nível_Decisão"/>
    <x:tableColumn id="8" name="Localização"/>
    <x:tableColumn id="9" name="Foco_Setorial"/>
    <x:tableColumn id="10" name="Foco_Fase"/>
    <x:tableColumn id="11" name="Experiência_Anterior"/>
    <x:tableColumn id="12" name="Empresas_Portfólio"/>
    <x:tableColumn id="13" name="Email_Público"/>
    <x:tableColumn id="14" name="LinkedIn"/>
    <x:tableColumn id="15" name="Perfil_Oficial"/>
    <x:tableColumn id="16" name="Hook_Principal"/>
    <x:tableColumn id="17" name="Fundamento_do_Hook"/>
    <x:tableColumn id="18" name="Fonte_Principal"/>
    <x:tableColumn id="19" name="Data_Verificação"/>
    <x:tableColumn id="20" name="Confiança"/>
    <x:tableColumn id="21" name="Estado_Perfil"/>
    <x:tableColumn id="22" name="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oksTable" displayName="HooksTable" ref="A1:Q109" headerRowCount="1" totalsRowCount="0" totalsRowShown="0">
  <x:autoFilter ref="A1:Q109"/>
  <x:tableColumns count="17">
    <x:tableColumn id="1" name="ID_Hook"/>
    <x:tableColumn id="2" name="ID_Investidor"/>
    <x:tableColumn id="3" name="ID_Pessoa"/>
    <x:tableColumn id="4" name="Investidor"/>
    <x:tableColumn id="5" name="Pessoa"/>
    <x:tableColumn id="6" name="Tipo_Conteúdo"/>
    <x:tableColumn id="7" name="Título"/>
    <x:tableColumn id="8" name="Data_Publicação"/>
    <x:tableColumn id="9" name="Tema"/>
    <x:tableColumn id="10" name="Ponto_de_Vista"/>
    <x:tableColumn id="11" name="Hook_Sugerido"/>
    <x:tableColumn id="12" name="URL_Fonte"/>
    <x:tableColumn id="13" name="Estado_Verificação"/>
    <x:tableColumn id="14" name="Confiança"/>
    <x:tableColumn id="15" name="Adequação_Outreach"/>
    <x:tableColumn id="16" name="Sensibilidade"/>
    <x:tableColumn id="17" name="Nota_de_U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sTable" displayName="SignalsTable" ref="A1:O30" headerRowCount="1" totalsRowCount="0" totalsRowShown="0">
  <x:autoFilter ref="A1:O30"/>
  <x:tableColumns count="15">
    <x:tableColumn id="1" name="ID_Sinal"/>
    <x:tableColumn id="2" name="ID_Investidor"/>
    <x:tableColumn id="3" name="ID_Pessoa"/>
    <x:tableColumn id="4" name="Investidor"/>
    <x:tableColumn id="5" name="Pessoa"/>
    <x:tableColumn id="6" name="Categoria"/>
    <x:tableColumn id="7" name="Sinal_Público"/>
    <x:tableColumn id="8" name="Contexto_da_Fonte"/>
    <x:tableColumn id="9" name="Hook_Seguro"/>
    <x:tableColumn id="10" name="Adequação_Outreach"/>
    <x:tableColumn id="11" name="Sensibilidade"/>
    <x:tableColumn id="12" name="URL_Fonte"/>
    <x:tableColumn id="13" name="Data_Verificação"/>
    <x:tableColumn id="14" name="Estado"/>
    <x:tableColumn id="15" name="Nota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I472" headerRowCount="1" totalsRowCount="0" totalsRowShown="0">
  <x:autoFilter ref="A1:I472"/>
  <x:tableColumns count="9">
    <x:tableColumn id="1" name="ID_Fonte"/>
    <x:tableColumn id="2" name="URL"/>
    <x:tableColumn id="3" name="Publisher"/>
    <x:tableColumn id="4" name="Tipo_Fonte"/>
    <x:tableColumn id="5" name="Prova_Para"/>
    <x:tableColumn id="6" name="ID_Registo"/>
    <x:tableColumn id="7" name="Data_Verificação"/>
    <x:tableColumn id="8" name="Estado"/>
    <x:tableColumn id="9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2f38133da04c98" /><Relationship Type="http://schemas.openxmlformats.org/officeDocument/2006/relationships/table" Target="/xl/tables/table1.xml" Id="Rf3ed0288a5684e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b4a9519d645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8a7932f1774a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6f05e4339e4d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3231ac442f4d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74eb3d85114c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34" customHeight="1">
      <x:c r="A1" s="3" t="str">
        <x:v>Base de Investidores EU + UK</x:v>
      </x:c>
    </x:row>
    <x:row r="2" ht="28" customHeight="1">
      <x:c r="A2" s="6" t="str">
        <x:v>Versão 2: VCs, family offices, pessoas e conteúdo público. Os registos anteriores mantêm a sua identificação.</x:v>
      </x:c>
    </x:row>
    <x:row r="4">
      <x:c r="A4" s="10" t="str">
        <x:v>Indicador</x:v>
      </x:c>
      <x:c r="B4" s="10" t="str">
        <x:v>Valor</x:v>
      </x:c>
      <x:c r="D4" s="9" t="str">
        <x:v>Como usar</x:v>
      </x:c>
    </x:row>
    <x:row r="5" ht="150" customHeight="1">
      <x:c r="A5" s="11" t="str">
        <x:v>Entidades investidoras</x:v>
      </x:c>
      <x:c r="B5" s="12" t="n">
        <x:f>COUNTA(Investidores!$A$2:$A$200)</x:f>
        <x:v>35</x:v>
      </x:c>
      <x:c r="D5" s="17" t="str">
        <x:v>1. Filtra Investidores por estágio, ticket, setor e geografia.
2. Usa o ID_Investidor para ver a equipa na folha Pessoas.
3. Prioriza Decisor=Sim e Estado_Perfil=Enriquecido.
4. Abre Conteudos_Hooks para preparar uma abordagem específica.
5. Confirma fontes e cargo antes de contactar; equipas de VC mudam com frequência.
6. Emails e LinkedIn só são incluídos quando publicados e verificados; não são adivinhados.</x:v>
      </x:c>
      <x:c r="E5" s="18"/>
      <x:c r="F5" s="18"/>
      <x:c r="G5" s="18"/>
      <x:c r="H5" s="19"/>
    </x:row>
    <x:row r="6">
      <x:c r="A6" s="11" t="str">
        <x:v>VCs / gestores de venture</x:v>
      </x:c>
      <x:c r="B6" s="12" t="n">
        <x:f>COUNTIF(Investidores!$C$2:$C$200,"VC")+COUNTIF(Investidores!$C$2:$C$200,"VC público")</x:f>
        <x:v>32</x:v>
      </x:c>
      <x:c r="D6" s="20"/>
      <x:c r="E6" s="21"/>
      <x:c r="F6" s="21"/>
      <x:c r="G6" s="21"/>
      <x:c r="H6" s="22"/>
    </x:row>
    <x:row r="7">
      <x:c r="A7" s="11" t="str">
        <x:v>Pessoas identificadas</x:v>
      </x:c>
      <x:c r="B7" s="12" t="n">
        <x:f>COUNTA(Pessoas!$A$2:$A$500)</x:f>
        <x:v>248</x:v>
      </x:c>
      <x:c r="D7" s="20"/>
      <x:c r="E7" s="21"/>
      <x:c r="F7" s="21"/>
      <x:c r="G7" s="21"/>
      <x:c r="H7" s="22"/>
    </x:row>
    <x:row r="8">
      <x:c r="A8" s="11" t="str">
        <x:v>Decisores prováveis/confirmados</x:v>
      </x:c>
      <x:c r="B8" s="12" t="n">
        <x:f>COUNTIF(Pessoas!$F$2:$F$500,"Sim")</x:f>
        <x:v>171</x:v>
      </x:c>
      <x:c r="D8" s="20"/>
      <x:c r="E8" s="21"/>
      <x:c r="F8" s="21"/>
      <x:c r="G8" s="21"/>
      <x:c r="H8" s="22"/>
    </x:row>
    <x:row r="9">
      <x:c r="A9" s="11" t="str">
        <x:v>Perfis enriquecidos</x:v>
      </x:c>
      <x:c r="B9" s="12" t="n">
        <x:f>COUNTIF(Pessoas!$U$2:$U$500,"Enriquecido")</x:f>
        <x:v>89</x:v>
      </x:c>
      <x:c r="D9" s="20"/>
      <x:c r="E9" s="21"/>
      <x:c r="F9" s="21"/>
      <x:c r="G9" s="21"/>
      <x:c r="H9" s="22"/>
    </x:row>
    <x:row r="10">
      <x:c r="A10" s="11" t="str">
        <x:v>Conteúdos / hooks</x:v>
      </x:c>
      <x:c r="B10" s="12" t="n">
        <x:f>COUNTA(Conteudos_Hooks!$A$2:$A$500)</x:f>
        <x:v>108</x:v>
      </x:c>
      <x:c r="D10" s="20"/>
      <x:c r="E10" s="21"/>
      <x:c r="F10" s="21"/>
      <x:c r="G10" s="21"/>
      <x:c r="H10" s="22"/>
    </x:row>
    <x:row r="11">
      <x:c r="A11" s="11" t="str">
        <x:v>Sinais pessoais públicos</x:v>
      </x:c>
      <x:c r="B11" s="12" t="n">
        <x:f>COUNTA(Sinais_Pessoais!$A$2:$A$500)</x:f>
        <x:v>29</x:v>
      </x:c>
      <x:c r="D11" s="23"/>
      <x:c r="E11" s="24"/>
      <x:c r="F11" s="24"/>
      <x:c r="G11" s="24"/>
      <x:c r="H11" s="25"/>
    </x:row>
    <x:row r="12">
      <x:c r="A12" s="11" t="str">
        <x:v>Referências a fontes</x:v>
      </x:c>
      <x:c r="B12" s="12" t="n">
        <x:f>COUNTA(Fontes!$A$2:$A$1000)</x:f>
        <x:v>471</x:v>
      </x:c>
    </x:row>
    <x:row r="13">
      <x:c r="A13" s="11" t="str">
        <x:v>Última verificação</x:v>
      </x:c>
      <x:c r="B13" s="12" t="str">
        <x:v>2026-09-09</x:v>
      </x:c>
      <x:c r="D13" s="7" t="str">
        <x:v>Family offices</x:v>
      </x:c>
      <x:c r="E13" s="7"/>
      <x:c r="F13" s="7"/>
      <x:c r="G13" s="7"/>
      <x:c r="H13" s="7" t="n">
        <x:f>COUNTIF(Investidores!$C$2:$C$200,"Family office")</x:f>
        <x:v>3</x:v>
      </x:c>
    </x:row>
    <x:row r="14" ht="36" customHeight="1">
      <x:c r="A14" s="28" t="str">
        <x:v>Nota de qualidade: esta é uma primeira base de substância. A cobertura nominal da equipa é maior do que a cobertura biográfica; usa Estado_Perfil e Confiança para distinguir as duas.</x:v>
      </x:c>
    </x:row>
    <x:row r="16">
      <x:c r="A16" s="10" t="str">
        <x:v>Acrescentado no lote 2</x:v>
      </x:c>
      <x:c r="B16" s="10" t="str">
        <x:v>Quantidade</x:v>
      </x:c>
    </x:row>
    <x:row r="17">
      <x:c r="A17" s="30" t="str">
        <x:v>Entidades</x:v>
      </x:c>
      <x:c r="B17" s="30" t="n">
        <x:v>8</x:v>
      </x:c>
    </x:row>
    <x:row r="18">
      <x:c r="A18" s="30" t="str">
        <x:v>Pessoas</x:v>
      </x:c>
      <x:c r="B18" s="30" t="n">
        <x:v>33</x:v>
      </x:c>
    </x:row>
    <x:row r="19">
      <x:c r="A19" s="30" t="str">
        <x:v>Perfis enriquecidos</x:v>
      </x:c>
      <x:c r="B19" s="30" t="n">
        <x:v>27</x:v>
      </x:c>
    </x:row>
    <x:row r="20">
      <x:c r="A20" s="30" t="str">
        <x:v>Conteúdos / hooks</x:v>
      </x:c>
      <x:c r="B20" s="30" t="n">
        <x:v>41</x:v>
      </x:c>
    </x:row>
    <x:row r="21">
      <x:c r="A21" s="30" t="str">
        <x:v>Sinais pessoais públicos</x:v>
      </x:c>
      <x:c r="B21" s="30" t="n">
        <x:v>14</x:v>
      </x:c>
    </x:row>
  </x:sheetData>
  <x:mergeCells>
    <x:mergeCell ref="A1:H1"/>
    <x:mergeCell ref="A2:H2"/>
    <x:mergeCell ref="D13:G13"/>
    <x:mergeCell ref="D4:H4"/>
    <x:mergeCell ref="D5:H1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4" t="str">
        <x:v>ID_Investidor</x:v>
      </x:c>
      <x:c r="B1" s="34" t="str">
        <x:v>Investidor</x:v>
      </x:c>
      <x:c r="C1" s="34" t="str">
        <x:v>Pessoas</x:v>
      </x:c>
      <x:c r="D1" s="34" t="str">
        <x:v>Decisores</x:v>
      </x:c>
      <x:c r="E1" s="34" t="str">
        <x:v>Perfis_Enriquecidos</x:v>
      </x:c>
      <x:c r="F1" s="34" t="str">
        <x:v>Conteudos_Hooks</x:v>
      </x:c>
    </x:row>
    <x:row r="2">
      <x:c r="A2" s="35" t="str">
        <x:v>INV001</x:v>
      </x:c>
      <x:c r="B2" s="35" t="str">
        <x:v>Point Nine</x:v>
      </x:c>
      <x:c r="C2" s="35" t="n">
        <x:f>COUNTIF(Pessoas!$B$2:$B$500,A2)</x:f>
        <x:v>4</x:v>
      </x:c>
      <x:c r="D2" s="35" t="n">
        <x:f>COUNTIFS(Pessoas!$B$2:$B$500,A2,Pessoas!$F$2:$F$500,"Sim")</x:f>
        <x:v>4</x:v>
      </x:c>
      <x:c r="E2" s="35" t="n">
        <x:f>COUNTIFS(Pessoas!$B$2:$B$500,A2,Pessoas!$U$2:$U$500,"Enriquecido")</x:f>
        <x:v>1</x:v>
      </x:c>
      <x:c r="F2" s="35" t="n">
        <x:f>COUNTIF(Conteudos_Hooks!$B$2:$B$500,A2)</x:f>
        <x:v>2</x:v>
      </x:c>
    </x:row>
    <x:row r="3">
      <x:c r="A3" s="35" t="str">
        <x:v>INV002</x:v>
      </x:c>
      <x:c r="B3" s="35" t="str">
        <x:v>Seedcamp</x:v>
      </x:c>
      <x:c r="C3" s="35" t="n">
        <x:f>COUNTIF(Pessoas!$B$2:$B$500,A3)</x:f>
        <x:v>4</x:v>
      </x:c>
      <x:c r="D3" s="35" t="n">
        <x:f>COUNTIFS(Pessoas!$B$2:$B$500,A3,Pessoas!$F$2:$F$500,"Sim")</x:f>
        <x:v>4</x:v>
      </x:c>
      <x:c r="E3" s="35" t="n">
        <x:f>COUNTIFS(Pessoas!$B$2:$B$500,A3,Pessoas!$U$2:$U$500,"Enriquecido")</x:f>
        <x:v>2</x:v>
      </x:c>
      <x:c r="F3" s="35" t="n">
        <x:f>COUNTIF(Conteudos_Hooks!$B$2:$B$500,A3)</x:f>
        <x:v>2</x:v>
      </x:c>
    </x:row>
    <x:row r="4">
      <x:c r="A4" s="35" t="str">
        <x:v>INV003</x:v>
      </x:c>
      <x:c r="B4" s="35" t="str">
        <x:v>JME Ventures</x:v>
      </x:c>
      <x:c r="C4" s="35" t="n">
        <x:f>COUNTIF(Pessoas!$B$2:$B$500,A4)</x:f>
        <x:v>3</x:v>
      </x:c>
      <x:c r="D4" s="35" t="n">
        <x:f>COUNTIFS(Pessoas!$B$2:$B$500,A4,Pessoas!$F$2:$F$500,"Sim")</x:f>
        <x:v>3</x:v>
      </x:c>
      <x:c r="E4" s="35" t="n">
        <x:f>COUNTIFS(Pessoas!$B$2:$B$500,A4,Pessoas!$U$2:$U$500,"Enriquecido")</x:f>
        <x:v>0</x:v>
      </x:c>
      <x:c r="F4" s="35" t="n">
        <x:f>COUNTIF(Conteudos_Hooks!$B$2:$B$500,A4)</x:f>
        <x:v>0</x:v>
      </x:c>
    </x:row>
    <x:row r="5">
      <x:c r="A5" s="35" t="str">
        <x:v>INV004</x:v>
      </x:c>
      <x:c r="B5" s="35" t="str">
        <x:v>Picus Capital</x:v>
      </x:c>
      <x:c r="C5" s="35" t="n">
        <x:f>COUNTIF(Pessoas!$B$2:$B$500,A5)</x:f>
        <x:v>7</x:v>
      </x:c>
      <x:c r="D5" s="35" t="n">
        <x:f>COUNTIFS(Pessoas!$B$2:$B$500,A5,Pessoas!$F$2:$F$500,"Sim")</x:f>
        <x:v>6</x:v>
      </x:c>
      <x:c r="E5" s="35" t="n">
        <x:f>COUNTIFS(Pessoas!$B$2:$B$500,A5,Pessoas!$U$2:$U$500,"Enriquecido")</x:f>
        <x:v>0</x:v>
      </x:c>
      <x:c r="F5" s="35" t="n">
        <x:f>COUNTIF(Conteudos_Hooks!$B$2:$B$500,A5)</x:f>
        <x:v>0</x:v>
      </x:c>
    </x:row>
    <x:row r="6">
      <x:c r="A6" s="35" t="str">
        <x:v>INV005</x:v>
      </x:c>
      <x:c r="B6" s="35" t="str">
        <x:v>Speedinvest</x:v>
      </x:c>
      <x:c r="C6" s="35" t="n">
        <x:f>COUNTIF(Pessoas!$B$2:$B$500,A6)</x:f>
        <x:v>12</x:v>
      </x:c>
      <x:c r="D6" s="35" t="n">
        <x:f>COUNTIFS(Pessoas!$B$2:$B$500,A6,Pessoas!$F$2:$F$500,"Sim")</x:f>
        <x:v>12</x:v>
      </x:c>
      <x:c r="E6" s="35" t="n">
        <x:f>COUNTIFS(Pessoas!$B$2:$B$500,A6,Pessoas!$U$2:$U$500,"Enriquecido")</x:f>
        <x:v>4</x:v>
      </x:c>
      <x:c r="F6" s="35" t="n">
        <x:f>COUNTIF(Conteudos_Hooks!$B$2:$B$500,A6)</x:f>
        <x:v>4</x:v>
      </x:c>
    </x:row>
    <x:row r="7">
      <x:c r="A7" s="35" t="str">
        <x:v>INV006</x:v>
      </x:c>
      <x:c r="B7" s="35" t="str">
        <x:v>Index Ventures</x:v>
      </x:c>
      <x:c r="C7" s="35" t="n">
        <x:f>COUNTIF(Pessoas!$B$2:$B$500,A7)</x:f>
        <x:v>12</x:v>
      </x:c>
      <x:c r="D7" s="35" t="n">
        <x:f>COUNTIFS(Pessoas!$B$2:$B$500,A7,Pessoas!$F$2:$F$500,"Sim")</x:f>
        <x:v>10</x:v>
      </x:c>
      <x:c r="E7" s="35" t="n">
        <x:f>COUNTIFS(Pessoas!$B$2:$B$500,A7,Pessoas!$U$2:$U$500,"Enriquecido")</x:f>
        <x:v>1</x:v>
      </x:c>
      <x:c r="F7" s="35" t="n">
        <x:f>COUNTIF(Conteudos_Hooks!$B$2:$B$500,A7)</x:f>
        <x:v>1</x:v>
      </x:c>
    </x:row>
    <x:row r="8">
      <x:c r="A8" s="35" t="str">
        <x:v>INV007</x:v>
      </x:c>
      <x:c r="B8" s="35" t="str">
        <x:v>Atomico</x:v>
      </x:c>
      <x:c r="C8" s="35" t="n">
        <x:f>COUNTIF(Pessoas!$B$2:$B$500,A8)</x:f>
        <x:v>6</x:v>
      </x:c>
      <x:c r="D8" s="35" t="n">
        <x:f>COUNTIFS(Pessoas!$B$2:$B$500,A8,Pessoas!$F$2:$F$500,"Sim")</x:f>
        <x:v>6</x:v>
      </x:c>
      <x:c r="E8" s="35" t="n">
        <x:f>COUNTIFS(Pessoas!$B$2:$B$500,A8,Pessoas!$U$2:$U$500,"Enriquecido")</x:f>
        <x:v>2</x:v>
      </x:c>
      <x:c r="F8" s="35" t="n">
        <x:f>COUNTIF(Conteudos_Hooks!$B$2:$B$500,A8)</x:f>
        <x:v>2</x:v>
      </x:c>
    </x:row>
    <x:row r="9">
      <x:c r="A9" s="35" t="str">
        <x:v>INV008</x:v>
      </x:c>
      <x:c r="B9" s="35" t="str">
        <x:v>Balderton Capital</x:v>
      </x:c>
      <x:c r="C9" s="35" t="n">
        <x:f>COUNTIF(Pessoas!$B$2:$B$500,A9)</x:f>
        <x:v>10</x:v>
      </x:c>
      <x:c r="D9" s="35" t="n">
        <x:f>COUNTIFS(Pessoas!$B$2:$B$500,A9,Pessoas!$F$2:$F$500,"Sim")</x:f>
        <x:v>8</x:v>
      </x:c>
      <x:c r="E9" s="35" t="n">
        <x:f>COUNTIFS(Pessoas!$B$2:$B$500,A9,Pessoas!$U$2:$U$500,"Enriquecido")</x:f>
        <x:v>2</x:v>
      </x:c>
      <x:c r="F9" s="35" t="n">
        <x:f>COUNTIF(Conteudos_Hooks!$B$2:$B$500,A9)</x:f>
        <x:v>2</x:v>
      </x:c>
    </x:row>
    <x:row r="10">
      <x:c r="A10" s="35" t="str">
        <x:v>INV009</x:v>
      </x:c>
      <x:c r="B10" s="35" t="str">
        <x:v>Cherry Ventures</x:v>
      </x:c>
      <x:c r="C10" s="35" t="n">
        <x:f>COUNTIF(Pessoas!$B$2:$B$500,A10)</x:f>
        <x:v>9</x:v>
      </x:c>
      <x:c r="D10" s="35" t="n">
        <x:f>COUNTIFS(Pessoas!$B$2:$B$500,A10,Pessoas!$F$2:$F$500,"Sim")</x:f>
        <x:v>4</x:v>
      </x:c>
      <x:c r="E10" s="35" t="n">
        <x:f>COUNTIFS(Pessoas!$B$2:$B$500,A10,Pessoas!$U$2:$U$500,"Enriquecido")</x:f>
        <x:v>1</x:v>
      </x:c>
      <x:c r="F10" s="35" t="n">
        <x:f>COUNTIF(Conteudos_Hooks!$B$2:$B$500,A10)</x:f>
        <x:v>1</x:v>
      </x:c>
    </x:row>
    <x:row r="11">
      <x:c r="A11" s="35" t="str">
        <x:v>INV010</x:v>
      </x:c>
      <x:c r="B11" s="35" t="str">
        <x:v>Creandum</x:v>
      </x:c>
      <x:c r="C11" s="35" t="n">
        <x:f>COUNTIF(Pessoas!$B$2:$B$500,A11)</x:f>
        <x:v>12</x:v>
      </x:c>
      <x:c r="D11" s="35" t="n">
        <x:f>COUNTIFS(Pessoas!$B$2:$B$500,A11,Pessoas!$F$2:$F$500,"Sim")</x:f>
        <x:v>6</x:v>
      </x:c>
      <x:c r="E11" s="35" t="n">
        <x:f>COUNTIFS(Pessoas!$B$2:$B$500,A11,Pessoas!$U$2:$U$500,"Enriquecido")</x:f>
        <x:v>5</x:v>
      </x:c>
      <x:c r="F11" s="35" t="n">
        <x:f>COUNTIF(Conteudos_Hooks!$B$2:$B$500,A11)</x:f>
        <x:v>5</x:v>
      </x:c>
    </x:row>
    <x:row r="12">
      <x:c r="A12" s="35" t="str">
        <x:v>INV011</x:v>
      </x:c>
      <x:c r="B12" s="35" t="str">
        <x:v>Northzone</x:v>
      </x:c>
      <x:c r="C12" s="35" t="n">
        <x:f>COUNTIF(Pessoas!$B$2:$B$500,A12)</x:f>
        <x:v>12</x:v>
      </x:c>
      <x:c r="D12" s="35" t="n">
        <x:f>COUNTIFS(Pessoas!$B$2:$B$500,A12,Pessoas!$F$2:$F$500,"Sim")</x:f>
        <x:v>9</x:v>
      </x:c>
      <x:c r="E12" s="35" t="n">
        <x:f>COUNTIFS(Pessoas!$B$2:$B$500,A12,Pessoas!$U$2:$U$500,"Enriquecido")</x:f>
        <x:v>3</x:v>
      </x:c>
      <x:c r="F12" s="35" t="n">
        <x:f>COUNTIF(Conteudos_Hooks!$B$2:$B$500,A12)</x:f>
        <x:v>3</x:v>
      </x:c>
    </x:row>
    <x:row r="13">
      <x:c r="A13" s="35" t="str">
        <x:v>INV012</x:v>
      </x:c>
      <x:c r="B13" s="35" t="str">
        <x:v>Project A</x:v>
      </x:c>
      <x:c r="C13" s="35" t="n">
        <x:f>COUNTIF(Pessoas!$B$2:$B$500,A13)</x:f>
        <x:v>10</x:v>
      </x:c>
      <x:c r="D13" s="35" t="n">
        <x:f>COUNTIFS(Pessoas!$B$2:$B$500,A13,Pessoas!$F$2:$F$500,"Sim")</x:f>
        <x:v>8</x:v>
      </x:c>
      <x:c r="E13" s="35" t="n">
        <x:f>COUNTIFS(Pessoas!$B$2:$B$500,A13,Pessoas!$U$2:$U$500,"Enriquecido")</x:f>
        <x:v>4</x:v>
      </x:c>
      <x:c r="F13" s="35" t="n">
        <x:f>COUNTIF(Conteudos_Hooks!$B$2:$B$500,A13)</x:f>
        <x:v>5</x:v>
      </x:c>
    </x:row>
    <x:row r="14">
      <x:c r="A14" s="35" t="str">
        <x:v>INV013</x:v>
      </x:c>
      <x:c r="B14" s="35" t="str">
        <x:v>Dawn Capital</x:v>
      </x:c>
      <x:c r="C14" s="35" t="n">
        <x:f>COUNTIF(Pessoas!$B$2:$B$500,A14)</x:f>
        <x:v>10</x:v>
      </x:c>
      <x:c r="D14" s="35" t="n">
        <x:f>COUNTIFS(Pessoas!$B$2:$B$500,A14,Pessoas!$F$2:$F$500,"Sim")</x:f>
        <x:v>7</x:v>
      </x:c>
      <x:c r="E14" s="35" t="n">
        <x:f>COUNTIFS(Pessoas!$B$2:$B$500,A14,Pessoas!$U$2:$U$500,"Enriquecido")</x:f>
        <x:v>5</x:v>
      </x:c>
      <x:c r="F14" s="35" t="n">
        <x:f>COUNTIF(Conteudos_Hooks!$B$2:$B$500,A14)</x:f>
        <x:v>6</x:v>
      </x:c>
    </x:row>
    <x:row r="15">
      <x:c r="A15" s="35" t="str">
        <x:v>INV014</x:v>
      </x:c>
      <x:c r="B15" s="35" t="str">
        <x:v>Octopus Ventures</x:v>
      </x:c>
      <x:c r="C15" s="35" t="n">
        <x:f>COUNTIF(Pessoas!$B$2:$B$500,A15)</x:f>
        <x:v>8</x:v>
      </x:c>
      <x:c r="D15" s="35" t="n">
        <x:f>COUNTIFS(Pessoas!$B$2:$B$500,A15,Pessoas!$F$2:$F$500,"Sim")</x:f>
        <x:v>2</x:v>
      </x:c>
      <x:c r="E15" s="35" t="n">
        <x:f>COUNTIFS(Pessoas!$B$2:$B$500,A15,Pessoas!$U$2:$U$500,"Enriquecido")</x:f>
        <x:v>5</x:v>
      </x:c>
      <x:c r="F15" s="35" t="n">
        <x:f>COUNTIF(Conteudos_Hooks!$B$2:$B$500,A15)</x:f>
        <x:v>5</x:v>
      </x:c>
    </x:row>
    <x:row r="16">
      <x:c r="A16" s="35" t="str">
        <x:v>INV015</x:v>
      </x:c>
      <x:c r="B16" s="35" t="str">
        <x:v>Notion Capital</x:v>
      </x:c>
      <x:c r="C16" s="35" t="n">
        <x:f>COUNTIF(Pessoas!$B$2:$B$500,A16)</x:f>
        <x:v>6</x:v>
      </x:c>
      <x:c r="D16" s="35" t="n">
        <x:f>COUNTIFS(Pessoas!$B$2:$B$500,A16,Pessoas!$F$2:$F$500,"Sim")</x:f>
        <x:v>5</x:v>
      </x:c>
      <x:c r="E16" s="35" t="n">
        <x:f>COUNTIFS(Pessoas!$B$2:$B$500,A16,Pessoas!$U$2:$U$500,"Enriquecido")</x:f>
        <x:v>4</x:v>
      </x:c>
      <x:c r="F16" s="35" t="n">
        <x:f>COUNTIF(Conteudos_Hooks!$B$2:$B$500,A16)</x:f>
        <x:v>4</x:v>
      </x:c>
    </x:row>
    <x:row r="17">
      <x:c r="A17" s="35" t="str">
        <x:v>INV016</x:v>
      </x:c>
      <x:c r="B17" s="35" t="str">
        <x:v>Nauta Capital</x:v>
      </x:c>
      <x:c r="C17" s="35" t="n">
        <x:f>COUNTIF(Pessoas!$B$2:$B$500,A17)</x:f>
        <x:v>9</x:v>
      </x:c>
      <x:c r="D17" s="35" t="n">
        <x:f>COUNTIFS(Pessoas!$B$2:$B$500,A17,Pessoas!$F$2:$F$500,"Sim")</x:f>
        <x:v>4</x:v>
      </x:c>
      <x:c r="E17" s="35" t="n">
        <x:f>COUNTIFS(Pessoas!$B$2:$B$500,A17,Pessoas!$U$2:$U$500,"Enriquecido")</x:f>
        <x:v>5</x:v>
      </x:c>
      <x:c r="F17" s="35" t="n">
        <x:f>COUNTIF(Conteudos_Hooks!$B$2:$B$500,A17)</x:f>
        <x:v>5</x:v>
      </x:c>
    </x:row>
    <x:row r="18">
      <x:c r="A18" s="35" t="str">
        <x:v>INV017</x:v>
      </x:c>
      <x:c r="B18" s="35" t="str">
        <x:v>K Fund</x:v>
      </x:c>
      <x:c r="C18" s="35" t="n">
        <x:f>COUNTIF(Pessoas!$B$2:$B$500,A18)</x:f>
        <x:v>8</x:v>
      </x:c>
      <x:c r="D18" s="35" t="n">
        <x:f>COUNTIFS(Pessoas!$B$2:$B$500,A18,Pessoas!$F$2:$F$500,"Sim")</x:f>
        <x:v>6</x:v>
      </x:c>
      <x:c r="E18" s="35" t="n">
        <x:f>COUNTIFS(Pessoas!$B$2:$B$500,A18,Pessoas!$U$2:$U$500,"Enriquecido")</x:f>
        <x:v>4</x:v>
      </x:c>
      <x:c r="F18" s="35" t="n">
        <x:f>COUNTIF(Conteudos_Hooks!$B$2:$B$500,A18)</x:f>
        <x:v>5</x:v>
      </x:c>
    </x:row>
    <x:row r="19">
      <x:c r="A19" s="35" t="str">
        <x:v>INV018</x:v>
      </x:c>
      <x:c r="B19" s="35" t="str">
        <x:v>Samaipata</x:v>
      </x:c>
      <x:c r="C19" s="35" t="n">
        <x:f>COUNTIF(Pessoas!$B$2:$B$500,A19)</x:f>
        <x:v>8</x:v>
      </x:c>
      <x:c r="D19" s="35" t="n">
        <x:f>COUNTIFS(Pessoas!$B$2:$B$500,A19,Pessoas!$F$2:$F$500,"Sim")</x:f>
        <x:v>5</x:v>
      </x:c>
      <x:c r="E19" s="35" t="n">
        <x:f>COUNTIFS(Pessoas!$B$2:$B$500,A19,Pessoas!$U$2:$U$500,"Enriquecido")</x:f>
        <x:v>2</x:v>
      </x:c>
      <x:c r="F19" s="35" t="n">
        <x:f>COUNTIF(Conteudos_Hooks!$B$2:$B$500,A19)</x:f>
        <x:v>2</x:v>
      </x:c>
    </x:row>
    <x:row r="20">
      <x:c r="A20" s="35" t="str">
        <x:v>INV019</x:v>
      </x:c>
      <x:c r="B20" s="35" t="str">
        <x:v>Portugal Ventures</x:v>
      </x:c>
      <x:c r="C20" s="35" t="n">
        <x:f>COUNTIF(Pessoas!$B$2:$B$500,A20)</x:f>
        <x:v>5</x:v>
      </x:c>
      <x:c r="D20" s="35" t="n">
        <x:f>COUNTIFS(Pessoas!$B$2:$B$500,A20,Pessoas!$F$2:$F$500,"Sim")</x:f>
        <x:v>4</x:v>
      </x:c>
      <x:c r="E20" s="35" t="n">
        <x:f>COUNTIFS(Pessoas!$B$2:$B$500,A20,Pessoas!$U$2:$U$500,"Enriquecido")</x:f>
        <x:v>1</x:v>
      </x:c>
      <x:c r="F20" s="35" t="n">
        <x:f>COUNTIF(Conteudos_Hooks!$B$2:$B$500,A20)</x:f>
        <x:v>1</x:v>
      </x:c>
    </x:row>
    <x:row r="21">
      <x:c r="A21" s="35" t="str">
        <x:v>INV020</x:v>
      </x:c>
      <x:c r="B21" s="35" t="str">
        <x:v>Indico Capital Partners</x:v>
      </x:c>
      <x:c r="C21" s="35" t="n">
        <x:f>COUNTIF(Pessoas!$B$2:$B$500,A21)</x:f>
        <x:v>8</x:v>
      </x:c>
      <x:c r="D21" s="35" t="n">
        <x:f>COUNTIFS(Pessoas!$B$2:$B$500,A21,Pessoas!$F$2:$F$500,"Sim")</x:f>
        <x:v>5</x:v>
      </x:c>
      <x:c r="E21" s="35" t="n">
        <x:f>COUNTIFS(Pessoas!$B$2:$B$500,A21,Pessoas!$U$2:$U$500,"Enriquecido")</x:f>
        <x:v>2</x:v>
      </x:c>
      <x:c r="F21" s="35" t="n">
        <x:f>COUNTIF(Conteudos_Hooks!$B$2:$B$500,A21)</x:f>
        <x:v>2</x:v>
      </x:c>
    </x:row>
    <x:row r="22">
      <x:c r="A22" s="35" t="str">
        <x:v>INV021</x:v>
      </x:c>
      <x:c r="B22" s="35" t="str">
        <x:v>Shilling</x:v>
      </x:c>
      <x:c r="C22" s="35" t="n">
        <x:f>COUNTIF(Pessoas!$B$2:$B$500,A22)</x:f>
        <x:v>12</x:v>
      </x:c>
      <x:c r="D22" s="35" t="n">
        <x:f>COUNTIFS(Pessoas!$B$2:$B$500,A22,Pessoas!$F$2:$F$500,"Sim")</x:f>
        <x:v>10</x:v>
      </x:c>
      <x:c r="E22" s="35" t="n">
        <x:f>COUNTIFS(Pessoas!$B$2:$B$500,A22,Pessoas!$U$2:$U$500,"Enriquecido")</x:f>
        <x:v>0</x:v>
      </x:c>
      <x:c r="F22" s="35" t="n">
        <x:f>COUNTIF(Conteudos_Hooks!$B$2:$B$500,A22)</x:f>
        <x:v>0</x:v>
      </x:c>
    </x:row>
    <x:row r="23">
      <x:c r="A23" s="35" t="str">
        <x:v>INV022</x:v>
      </x:c>
      <x:c r="B23" s="35" t="str">
        <x:v>Armilar Venture Partners</x:v>
      </x:c>
      <x:c r="C23" s="35" t="n">
        <x:f>COUNTIF(Pessoas!$B$2:$B$500,A23)</x:f>
        <x:v>10</x:v>
      </x:c>
      <x:c r="D23" s="35" t="n">
        <x:f>COUNTIFS(Pessoas!$B$2:$B$500,A23,Pessoas!$F$2:$F$500,"Sim")</x:f>
        <x:v>6</x:v>
      </x:c>
      <x:c r="E23" s="35" t="n">
        <x:f>COUNTIFS(Pessoas!$B$2:$B$500,A23,Pessoas!$U$2:$U$500,"Enriquecido")</x:f>
        <x:v>2</x:v>
      </x:c>
      <x:c r="F23" s="35" t="n">
        <x:f>COUNTIF(Conteudos_Hooks!$B$2:$B$500,A23)</x:f>
        <x:v>2</x:v>
      </x:c>
    </x:row>
    <x:row r="24">
      <x:c r="A24" s="35" t="str">
        <x:v>INV023</x:v>
      </x:c>
      <x:c r="B24" s="35" t="str">
        <x:v>Hoxton Ventures</x:v>
      </x:c>
      <x:c r="C24" s="35" t="n">
        <x:f>COUNTIF(Pessoas!$B$2:$B$500,A24)</x:f>
        <x:v>4</x:v>
      </x:c>
      <x:c r="D24" s="35" t="n">
        <x:f>COUNTIFS(Pessoas!$B$2:$B$500,A24,Pessoas!$F$2:$F$500,"Sim")</x:f>
        <x:v>2</x:v>
      </x:c>
      <x:c r="E24" s="35" t="n">
        <x:f>COUNTIFS(Pessoas!$B$2:$B$500,A24,Pessoas!$U$2:$U$500,"Enriquecido")</x:f>
        <x:v>0</x:v>
      </x:c>
      <x:c r="F24" s="35" t="n">
        <x:f>COUNTIF(Conteudos_Hooks!$B$2:$B$500,A24)</x:f>
        <x:v>0</x:v>
      </x:c>
    </x:row>
    <x:row r="25">
      <x:c r="A25" s="35" t="str">
        <x:v>INV024</x:v>
      </x:c>
      <x:c r="B25" s="35" t="str">
        <x:v>Kindred Capital</x:v>
      </x:c>
      <x:c r="C25" s="35" t="n">
        <x:f>COUNTIF(Pessoas!$B$2:$B$500,A25)</x:f>
        <x:v>8</x:v>
      </x:c>
      <x:c r="D25" s="35" t="n">
        <x:f>COUNTIFS(Pessoas!$B$2:$B$500,A25,Pessoas!$F$2:$F$500,"Sim")</x:f>
        <x:v>4</x:v>
      </x:c>
      <x:c r="E25" s="35" t="n">
        <x:f>COUNTIFS(Pessoas!$B$2:$B$500,A25,Pessoas!$U$2:$U$500,"Enriquecido")</x:f>
        <x:v>0</x:v>
      </x:c>
      <x:c r="F25" s="35" t="n">
        <x:f>COUNTIF(Conteudos_Hooks!$B$2:$B$500,A25)</x:f>
        <x:v>0</x:v>
      </x:c>
    </x:row>
    <x:row r="26">
      <x:c r="A26" s="35" t="str">
        <x:v>INV025</x:v>
      </x:c>
      <x:c r="B26" s="35" t="str">
        <x:v>Connect Ventures</x:v>
      </x:c>
      <x:c r="C26" s="35" t="n">
        <x:f>COUNTIF(Pessoas!$B$2:$B$500,A26)</x:f>
        <x:v>3</x:v>
      </x:c>
      <x:c r="D26" s="35" t="n">
        <x:f>COUNTIFS(Pessoas!$B$2:$B$500,A26,Pessoas!$F$2:$F$500,"Sim")</x:f>
        <x:v>3</x:v>
      </x:c>
      <x:c r="E26" s="35" t="n">
        <x:f>COUNTIFS(Pessoas!$B$2:$B$500,A26,Pessoas!$U$2:$U$500,"Enriquecido")</x:f>
        <x:v>3</x:v>
      </x:c>
      <x:c r="F26" s="35" t="n">
        <x:f>COUNTIF(Conteudos_Hooks!$B$2:$B$500,A26)</x:f>
        <x:v>4</x:v>
      </x:c>
    </x:row>
    <x:row r="27">
      <x:c r="A27" s="35" t="str">
        <x:v>INV026</x:v>
      </x:c>
      <x:c r="B27" s="35" t="str">
        <x:v>Heartcore Capital</x:v>
      </x:c>
      <x:c r="C27" s="35" t="n">
        <x:f>COUNTIF(Pessoas!$B$2:$B$500,A27)</x:f>
        <x:v>8</x:v>
      </x:c>
      <x:c r="D27" s="35" t="n">
        <x:f>COUNTIFS(Pessoas!$B$2:$B$500,A27,Pessoas!$F$2:$F$500,"Sim")</x:f>
        <x:v>5</x:v>
      </x:c>
      <x:c r="E27" s="35" t="n">
        <x:f>COUNTIFS(Pessoas!$B$2:$B$500,A27,Pessoas!$U$2:$U$500,"Enriquecido")</x:f>
        <x:v>0</x:v>
      </x:c>
      <x:c r="F27" s="35" t="n">
        <x:f>COUNTIF(Conteudos_Hooks!$B$2:$B$500,A27)</x:f>
        <x:v>0</x:v>
      </x:c>
    </x:row>
    <x:row r="28">
      <x:c r="A28" s="35" t="str">
        <x:v>INV027</x:v>
      </x:c>
      <x:c r="B28" s="35" t="str">
        <x:v>Partech</x:v>
      </x:c>
      <x:c r="C28" s="35" t="n">
        <x:f>COUNTIF(Pessoas!$B$2:$B$500,A28)</x:f>
        <x:v>7</x:v>
      </x:c>
      <x:c r="D28" s="35" t="n">
        <x:f>COUNTIFS(Pessoas!$B$2:$B$500,A28,Pessoas!$F$2:$F$500,"Sim")</x:f>
        <x:v>5</x:v>
      </x:c>
      <x:c r="E28" s="35" t="n">
        <x:f>COUNTIFS(Pessoas!$B$2:$B$500,A28,Pessoas!$U$2:$U$500,"Enriquecido")</x:f>
        <x:v>4</x:v>
      </x:c>
      <x:c r="F28" s="35" t="n">
        <x:f>COUNTIF(Conteudos_Hooks!$B$2:$B$500,A28)</x:f>
        <x:v>4</x:v>
      </x:c>
    </x:row>
    <x:row r="29">
      <x:c r="A29" s="35" t="str">
        <x:v>INV028</x:v>
      </x:c>
      <x:c r="B29" s="35" t="str">
        <x:v>Korys</x:v>
      </x:c>
      <x:c r="C29" s="35" t="n">
        <x:f>COUNTIF(Pessoas!$B$2:$B$500,A29)</x:f>
        <x:v>6</x:v>
      </x:c>
      <x:c r="D29" s="35" t="n">
        <x:f>COUNTIFS(Pessoas!$B$2:$B$500,A29,Pessoas!$F$2:$F$500,"Sim")</x:f>
        <x:v>1</x:v>
      </x:c>
      <x:c r="E29" s="35" t="n">
        <x:f>COUNTIFS(Pessoas!$B$2:$B$500,A29,Pessoas!$U$2:$U$500,"Enriquecido")</x:f>
        <x:v>4</x:v>
      </x:c>
      <x:c r="F29" s="35" t="n">
        <x:f>COUNTIF(Conteudos_Hooks!$B$2:$B$500,A29)</x:f>
        <x:v>5</x:v>
      </x:c>
    </x:row>
    <x:row r="30">
      <x:c r="A30" s="35" t="str">
        <x:v>INV029</x:v>
      </x:c>
      <x:c r="B30" s="35" t="str">
        <x:v>H14</x:v>
      </x:c>
      <x:c r="C30" s="35" t="n">
        <x:f>COUNTIF(Pessoas!$B$2:$B$500,A30)</x:f>
        <x:v>2</x:v>
      </x:c>
      <x:c r="D30" s="35" t="n">
        <x:f>COUNTIFS(Pessoas!$B$2:$B$500,A30,Pessoas!$F$2:$F$500,"Sim")</x:f>
        <x:v>0</x:v>
      </x:c>
      <x:c r="E30" s="35" t="n">
        <x:f>COUNTIFS(Pessoas!$B$2:$B$500,A30,Pessoas!$U$2:$U$500,"Enriquecido")</x:f>
        <x:v>1</x:v>
      </x:c>
      <x:c r="F30" s="35" t="n">
        <x:f>COUNTIF(Conteudos_Hooks!$B$2:$B$500,A30)</x:f>
        <x:v>3</x:v>
      </x:c>
    </x:row>
    <x:row r="31">
      <x:c r="A31" s="35" t="str">
        <x:v>INV030</x:v>
      </x:c>
      <x:c r="B31" s="35" t="str">
        <x:v>Fink Family Office</x:v>
      </x:c>
      <x:c r="C31" s="35" t="n">
        <x:f>COUNTIF(Pessoas!$B$2:$B$500,A31)</x:f>
        <x:v>2</x:v>
      </x:c>
      <x:c r="D31" s="35" t="n">
        <x:f>COUNTIFS(Pessoas!$B$2:$B$500,A31,Pessoas!$F$2:$F$500,"Sim")</x:f>
        <x:v>1</x:v>
      </x:c>
      <x:c r="E31" s="35" t="n">
        <x:f>COUNTIFS(Pessoas!$B$2:$B$500,A31,Pessoas!$U$2:$U$500,"Enriquecido")</x:f>
        <x:v>2</x:v>
      </x:c>
      <x:c r="F31" s="35" t="n">
        <x:f>COUNTIF(Conteudos_Hooks!$B$2:$B$500,A31)</x:f>
        <x:v>5</x:v>
      </x:c>
    </x:row>
    <x:row r="32">
      <x:c r="A32" s="35" t="str">
        <x:v>INV031</x:v>
      </x:c>
      <x:c r="B32" s="35" t="str">
        <x:v>DIG Ventures</x:v>
      </x:c>
      <x:c r="C32" s="35" t="n">
        <x:f>COUNTIF(Pessoas!$B$2:$B$500,A32)</x:f>
        <x:v>3</x:v>
      </x:c>
      <x:c r="D32" s="35" t="n">
        <x:f>COUNTIFS(Pessoas!$B$2:$B$500,A32,Pessoas!$F$2:$F$500,"Sim")</x:f>
        <x:v>3</x:v>
      </x:c>
      <x:c r="E32" s="35" t="n">
        <x:f>COUNTIFS(Pessoas!$B$2:$B$500,A32,Pessoas!$U$2:$U$500,"Enriquecido")</x:f>
        <x:v>3</x:v>
      </x:c>
      <x:c r="F32" s="35" t="n">
        <x:f>COUNTIF(Conteudos_Hooks!$B$2:$B$500,A32)</x:f>
        <x:v>5</x:v>
      </x:c>
    </x:row>
    <x:row r="33">
      <x:c r="A33" s="35" t="str">
        <x:v>INV032</x:v>
      </x:c>
      <x:c r="B33" s="35" t="str">
        <x:v>Smedvig Ventures</x:v>
      </x:c>
      <x:c r="C33" s="35" t="n">
        <x:f>COUNTIF(Pessoas!$B$2:$B$500,A33)</x:f>
        <x:v>5</x:v>
      </x:c>
      <x:c r="D33" s="35" t="n">
        <x:f>COUNTIFS(Pessoas!$B$2:$B$500,A33,Pessoas!$F$2:$F$500,"Sim")</x:f>
        <x:v>3</x:v>
      </x:c>
      <x:c r="E33" s="35" t="n">
        <x:f>COUNTIFS(Pessoas!$B$2:$B$500,A33,Pessoas!$U$2:$U$500,"Enriquecido")</x:f>
        <x:v>5</x:v>
      </x:c>
      <x:c r="F33" s="35" t="n">
        <x:f>COUNTIF(Conteudos_Hooks!$B$2:$B$500,A33)</x:f>
        <x:v>7</x:v>
      </x:c>
    </x:row>
    <x:row r="34">
      <x:c r="A34" s="35" t="str">
        <x:v>INV033</x:v>
      </x:c>
      <x:c r="B34" s="35" t="str">
        <x:v>Episode 1</x:v>
      </x:c>
      <x:c r="C34" s="35" t="n">
        <x:f>COUNTIF(Pessoas!$B$2:$B$500,A34)</x:f>
        <x:v>7</x:v>
      </x:c>
      <x:c r="D34" s="35" t="n">
        <x:f>COUNTIFS(Pessoas!$B$2:$B$500,A34,Pessoas!$F$2:$F$500,"Sim")</x:f>
        <x:v>5</x:v>
      </x:c>
      <x:c r="E34" s="35" t="n">
        <x:f>COUNTIFS(Pessoas!$B$2:$B$500,A34,Pessoas!$U$2:$U$500,"Enriquecido")</x:f>
        <x:v>4</x:v>
      </x:c>
      <x:c r="F34" s="35" t="n">
        <x:f>COUNTIF(Conteudos_Hooks!$B$2:$B$500,A34)</x:f>
        <x:v>6</x:v>
      </x:c>
    </x:row>
    <x:row r="35">
      <x:c r="A35" s="35" t="str">
        <x:v>INV034</x:v>
      </x:c>
      <x:c r="B35" s="35" t="str">
        <x:v>Concept Ventures</x:v>
      </x:c>
      <x:c r="C35" s="35" t="n">
        <x:f>COUNTIF(Pessoas!$B$2:$B$500,A35)</x:f>
        <x:v>6</x:v>
      </x:c>
      <x:c r="D35" s="35" t="n">
        <x:f>COUNTIFS(Pessoas!$B$2:$B$500,A35,Pessoas!$F$2:$F$500,"Sim")</x:f>
        <x:v>3</x:v>
      </x:c>
      <x:c r="E35" s="35" t="n">
        <x:f>COUNTIFS(Pessoas!$B$2:$B$500,A35,Pessoas!$U$2:$U$500,"Enriquecido")</x:f>
        <x:v>6</x:v>
      </x:c>
      <x:c r="F35" s="35" t="n">
        <x:f>COUNTIF(Conteudos_Hooks!$B$2:$B$500,A35)</x:f>
        <x:v>6</x:v>
      </x:c>
    </x:row>
    <x:row r="36">
      <x:c r="A36" s="35" t="str">
        <x:v>INV035</x:v>
      </x:c>
      <x:c r="B36" s="35" t="str">
        <x:v>Empirical Ventures</x:v>
      </x:c>
      <x:c r="C36" s="35" t="n">
        <x:f>COUNTIF(Pessoas!$B$2:$B$500,A36)</x:f>
        <x:v>2</x:v>
      </x:c>
      <x:c r="D36" s="35" t="n">
        <x:f>COUNTIFS(Pessoas!$B$2:$B$500,A36,Pessoas!$F$2:$F$500,"Sim")</x:f>
        <x:v>2</x:v>
      </x:c>
      <x:c r="E36" s="35" t="n">
        <x:f>COUNTIFS(Pessoas!$B$2:$B$500,A36,Pessoas!$U$2:$U$500,"Enriquecido")</x:f>
        <x:v>2</x:v>
      </x:c>
      <x:c r="F36" s="35" t="n">
        <x:f>COUNTIF(Conteudos_Hooks!$B$2:$B$500,A36)</x:f>
        <x:v>4</x:v>
      </x:c>
    </x:row>
  </x:sheetData>
  <x:pageMargins left="0.7" right="0.7" top="0.75" bottom="0.75" header="0.3" footer="0.3"/>
  <x:drawing xmlns:r="http://schemas.openxmlformats.org/officeDocument/2006/relationships" r:id="R112f38133da04c98"/>
  <x:tableParts count="1">
    <x:tablePart xmlns:r="http://schemas.openxmlformats.org/officeDocument/2006/relationships" r:id="Rf3ed0288a5684e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32" hidden="0" customWidth="1"/>
    <x:col min="5" max="5" width="18" hidden="0" customWidth="1"/>
    <x:col min="6" max="6" width="24" hidden="0" customWidth="1"/>
    <x:col min="7" max="7" width="24" hidden="0" customWidth="1"/>
    <x:col min="8" max="8" width="14" hidden="0" customWidth="1"/>
    <x:col min="9" max="9" width="14" hidden="0" customWidth="1"/>
    <x:col min="10" max="10" width="10" hidden="0" customWidth="1"/>
    <x:col min="11" max="11" width="32" hidden="0" customWidth="1"/>
    <x:col min="12" max="12" width="42" hidden="0" customWidth="1"/>
    <x:col min="13" max="13" width="22" hidden="0" customWidth="1"/>
    <x:col min="14" max="14" width="30" hidden="0" customWidth="1"/>
    <x:col min="15" max="15" width="18" hidden="0" customWidth="1"/>
    <x:col min="16" max="16" width="55" hidden="0" customWidth="1"/>
    <x:col min="17" max="17" width="48" hidden="0" customWidth="1"/>
    <x:col min="18" max="18" width="28" hidden="0" customWidth="1"/>
    <x:col min="19" max="19" width="24" hidden="0" customWidth="1"/>
    <x:col min="20" max="20" width="45" hidden="0" customWidth="1"/>
    <x:col min="21" max="21" width="42" hidden="0" customWidth="1"/>
    <x:col min="22" max="22" width="16" hidden="0" customWidth="1"/>
    <x:col min="23" max="23" width="12" hidden="0" customWidth="1"/>
    <x:col min="24" max="24" width="38" hidden="0" customWidth="1"/>
  </x:cols>
  <x:sheetData>
    <x:row r="1" ht="34" customHeight="1">
      <x:c r="A1" s="42" t="str">
        <x:v>ID_Investidor</x:v>
      </x:c>
      <x:c r="B1" s="42" t="str">
        <x:v>Nome</x:v>
      </x:c>
      <x:c r="C1" s="42" t="str">
        <x:v>Tipo</x:v>
      </x:c>
      <x:c r="D1" s="42" t="str">
        <x:v>Website</x:v>
      </x:c>
      <x:c r="E1" s="42" t="str">
        <x:v>País_Sede</x:v>
      </x:c>
      <x:c r="F1" s="42" t="str">
        <x:v>Cidades</x:v>
      </x:c>
      <x:c r="G1" s="42" t="str">
        <x:v>Estágios</x:v>
      </x:c>
      <x:c r="H1" s="42" t="str">
        <x:v>Ticket_Min_M</x:v>
      </x:c>
      <x:c r="I1" s="42" t="str">
        <x:v>Ticket_Max_M</x:v>
      </x:c>
      <x:c r="J1" s="42" t="str">
        <x:v>Moeda</x:v>
      </x:c>
      <x:c r="K1" s="42" t="str">
        <x:v>Ticket_Notas</x:v>
      </x:c>
      <x:c r="L1" s="42" t="str">
        <x:v>Setores</x:v>
      </x:c>
      <x:c r="M1" s="42" t="str">
        <x:v>Modelos</x:v>
      </x:c>
      <x:c r="N1" s="42" t="str">
        <x:v>Geografia_Startups</x:v>
      </x:c>
      <x:c r="O1" s="42" t="str">
        <x:v>Lidera_Rondas</x:v>
      </x:c>
      <x:c r="P1" s="42" t="str">
        <x:v>Tese</x:v>
      </x:c>
      <x:c r="Q1" s="42" t="str">
        <x:v>Critérios</x:v>
      </x:c>
      <x:c r="R1" s="42" t="str">
        <x:v>Contacto_Geral</x:v>
      </x:c>
      <x:c r="S1" s="42" t="str">
        <x:v>Envio_Pitch</x:v>
      </x:c>
      <x:c r="T1" s="42" t="str">
        <x:v>Fonte_Tese</x:v>
      </x:c>
      <x:c r="U1" s="42" t="str">
        <x:v>Fonte_Equipa</x:v>
      </x:c>
      <x:c r="V1" s="42" t="str">
        <x:v>Data_Verificação</x:v>
      </x:c>
      <x:c r="W1" s="42" t="str">
        <x:v>Confiança</x:v>
      </x:c>
      <x:c r="X1" s="42" t="str">
        <x:v>Notas</x:v>
      </x:c>
    </x:row>
    <x:row r="2" ht="40" customHeight="1">
      <x:c r="A2" s="39" t="str">
        <x:v>INV001</x:v>
      </x:c>
      <x:c r="B2" s="39" t="str">
        <x:v>Point Nine</x:v>
      </x:c>
      <x:c r="C2" s="39" t="str">
        <x:v>VC</x:v>
      </x:c>
      <x:c r="D2" s="39" t="str">
        <x:v>https://www.pointnine.com/</x:v>
      </x:c>
      <x:c r="E2" s="39" t="str">
        <x:v>Alemanha</x:v>
      </x:c>
      <x:c r="F2" s="39" t="str">
        <x:v>Berlim</x:v>
      </x:c>
      <x:c r="G2" s="39" t="str">
        <x:v>Pre-seed; Seed; Series A</x:v>
      </x:c>
      <x:c r="H2" s="43" t="n">
        <x:v>1</x:v>
      </x:c>
      <x:c r="I2" s="43" t="n">
        <x:v>10</x:v>
      </x:c>
      <x:c r="J2" s="39" t="str">
        <x:v>USD</x:v>
      </x:c>
      <x:c r="K2" s="39" t="str">
        <x:v>Investimento por empresa divulgado como $1m–$10m; confirmar tranche inicial.</x:v>
      </x:c>
      <x:c r="L2" s="39" t="str">
        <x:v>B2B SaaS; AI; software; tecnologia aplicada ao mundo físico e biológico</x:v>
      </x:c>
      <x:c r="M2" s="39" t="str">
        <x:v>B2B; software</x:v>
      </x:c>
      <x:c r="N2" s="39" t="str">
        <x:v>Europa como base; investimento global</x:v>
      </x:c>
      <x:c r="O2" s="39" t="str">
        <x:v>Frequentemente</x:v>
      </x:c>
      <x:c r="P2" s="39" t="str">
        <x:v>Early-stage VC europeu, com orientação global e forte histórico em SaaS; procura software e IA com potencial de categoria.</x:v>
      </x:c>
      <x:c r="Q2" s="39" t="str">
        <x:v>Ambição global; equipa forte; produto com possibilidade de escala</x:v>
      </x:c>
      <x:c r="R2" s="39" t="str">
        <x:v>info@pointnine.com</x:v>
      </x:c>
      <x:c r="S2" s="39" t="str">
        <x:v>Website / formulário</x:v>
      </x:c>
      <x:c r="T2" s="39" t="str">
        <x:v>https://www.pointnine.com/</x:v>
      </x:c>
      <x:c r="U2" s="39" t="str">
        <x:v>https://www.pointnine.com/team</x:v>
      </x:c>
      <x:c r="V2" s="44" t="str">
        <x:v>2026-09-09</x:v>
      </x:c>
      <x:c r="W2" s="39" t="str">
        <x:v>Alta</x:v>
      </x:c>
      <x:c r="X2" s="39" t="str">
        <x:v>Ticket não descrito claramente como cheque inicial.</x:v>
      </x:c>
    </x:row>
    <x:row r="3" ht="40" customHeight="1">
      <x:c r="A3" s="39" t="str">
        <x:v>INV002</x:v>
      </x:c>
      <x:c r="B3" s="39" t="str">
        <x:v>Seedcamp</x:v>
      </x:c>
      <x:c r="C3" s="39" t="str">
        <x:v>VC</x:v>
      </x:c>
      <x:c r="D3" s="39" t="str">
        <x:v>https://seedcamp.com/</x:v>
      </x:c>
      <x:c r="E3" s="39" t="str">
        <x:v>Reino Unido</x:v>
      </x:c>
      <x:c r="F3" s="39" t="str">
        <x:v>Londres</x:v>
      </x:c>
      <x:c r="G3" s="39" t="str">
        <x:v>Pre-seed; Seed</x:v>
      </x:c>
      <x:c r="H3" s="43" t="n">
        <x:v>0.35</x:v>
      </x:c>
      <x:c r="I3" s="43" t="n">
        <x:v>1.25</x:v>
      </x:c>
      <x:c r="J3" s="39" t="str">
        <x:v>USD</x:v>
      </x:c>
      <x:c r="K3" s="39" t="str">
        <x:v>Faixa de investimento inicial publicada no FAQ.</x:v>
      </x:c>
      <x:c r="L3" s="39" t="str">
        <x:v>Software; fintech; health; climate; deeptech; consumer</x:v>
      </x:c>
      <x:c r="M3" s="39" t="str">
        <x:v>B2B; B2C; marketplaces</x:v>
      </x:c>
      <x:c r="N3" s="39" t="str">
        <x:v>Europa e Israel; ambição global</x:v>
      </x:c>
      <x:c r="O3" s="39" t="str">
        <x:v>Sim / co-lidera</x:v>
      </x:c>
      <x:c r="P3" s="39" t="str">
        <x:v>Investe no primeiro cheque, desde pré-produto/pré-receita até depois do lançamento, apoiando empresas europeias a escalar globalmente.</x:v>
      </x:c>
      <x:c r="Q3" s="39" t="str">
        <x:v>Fundadores ambiciosos; early product insight; grande mercado</x:v>
      </x:c>
      <x:c r="R3" s="39" t="str">
        <x:v>Via aplicação no website</x:v>
      </x:c>
      <x:c r="S3" s="39" t="str">
        <x:v>Formulário de pitch</x:v>
      </x:c>
      <x:c r="T3" s="39" t="str">
        <x:v>https://seedcamp.com/faqs/</x:v>
      </x:c>
      <x:c r="U3" s="39" t="str">
        <x:v>https://seedcamp.com/our-team/</x:v>
      </x:c>
      <x:c r="V3" s="44" t="str">
        <x:v>2026-09-09</x:v>
      </x:c>
      <x:c r="W3" s="39" t="str">
        <x:v>Alta</x:v>
      </x:c>
      <x:c r="X3" s="39" t="str"/>
    </x:row>
    <x:row r="4" ht="40" customHeight="1">
      <x:c r="A4" s="39" t="str">
        <x:v>INV003</x:v>
      </x:c>
      <x:c r="B4" s="39" t="str">
        <x:v>JME Ventures</x:v>
      </x:c>
      <x:c r="C4" s="39" t="str">
        <x:v>VC</x:v>
      </x:c>
      <x:c r="D4" s="39" t="str">
        <x:v>https://www.jme.vc/</x:v>
      </x:c>
      <x:c r="E4" s="39" t="str">
        <x:v>Espanha</x:v>
      </x:c>
      <x:c r="F4" s="39" t="str">
        <x:v>Madrid</x:v>
      </x:c>
      <x:c r="G4" s="39" t="str">
        <x:v>Seed; Series A</x:v>
      </x:c>
      <x:c r="H4" s="43" t="n">
        <x:v>0.1</x:v>
      </x:c>
      <x:c r="I4" s="43" t="n">
        <x:v>3</x:v>
      </x:c>
      <x:c r="J4" s="39" t="str">
        <x:v>EUR</x:v>
      </x:c>
      <x:c r="K4" s="39" t="str">
        <x:v>A página apresenta €100k–€3m e também €0,5m–€2m; tratar como intervalo indicativo.</x:v>
      </x:c>
      <x:c r="L4" s="39" t="str">
        <x:v>Tecnologia; software; marketplaces; consumer</x:v>
      </x:c>
      <x:c r="M4" s="39" t="str">
        <x:v>B2B; B2C</x:v>
      </x:c>
      <x:c r="N4" s="39" t="str">
        <x:v>Espanha; startups com ligação forte ao mercado espanhol</x:v>
      </x:c>
      <x:c r="O4" s="39" t="str">
        <x:v>Sim</x:v>
      </x:c>
      <x:c r="P4" s="39" t="str">
        <x:v>Fundo seed espanhol, generalista em tecnologia, que acompanha equipas desde fases iniciais.</x:v>
      </x:c>
      <x:c r="Q4" s="39" t="str">
        <x:v>Tecnologia defensável; equipa; dimensão de mercado</x:v>
      </x:c>
      <x:c r="R4" s="39" t="str">
        <x:v>Via website</x:v>
      </x:c>
      <x:c r="S4" s="39" t="str">
        <x:v>Website</x:v>
      </x:c>
      <x:c r="T4" s="39" t="str">
        <x:v>https://www.jme.vc/</x:v>
      </x:c>
      <x:c r="U4" s="39" t="str">
        <x:v>https://www.jme.vc/</x:v>
      </x:c>
      <x:c r="V4" s="44" t="str">
        <x:v>2026-09-09</x:v>
      </x:c>
      <x:c r="W4" s="39" t="str">
        <x:v>Média</x:v>
      </x:c>
      <x:c r="X4" s="39" t="str">
        <x:v>Contradição de ticket assinalada para revisão.</x:v>
      </x:c>
    </x:row>
    <x:row r="5" ht="40" customHeight="1">
      <x:c r="A5" s="39" t="str">
        <x:v>INV004</x:v>
      </x:c>
      <x:c r="B5" s="39" t="str">
        <x:v>Picus Capital</x:v>
      </x:c>
      <x:c r="C5" s="39" t="str">
        <x:v>VC</x:v>
      </x:c>
      <x:c r="D5" s="39" t="str">
        <x:v>https://www.picuscap.com/</x:v>
      </x:c>
      <x:c r="E5" s="39" t="str">
        <x:v>Alemanha</x:v>
      </x:c>
      <x:c r="F5" s="39" t="str">
        <x:v>Munique; Berlim; Londres; Nova Iorque</x:v>
      </x:c>
      <x:c r="G5" s="39" t="str">
        <x:v>Pre-seed; Seed; Series A</x:v>
      </x:c>
      <x:c r="H5" s="43"/>
      <x:c r="I5" s="43"/>
      <x:c r="J5" s="39" t="str"/>
      <x:c r="K5" s="39" t="str">
        <x:v>Não publica faixa geral de ticket na fonte usada.</x:v>
      </x:c>
      <x:c r="L5" s="39" t="str">
        <x:v>Energy &amp; Climate; Fintech; Enterprise Infrastructure; Cybersecurity; GenAI; Health</x:v>
      </x:c>
      <x:c r="M5" s="39" t="str">
        <x:v>B2B; B2C</x:v>
      </x:c>
      <x:c r="N5" s="39" t="str">
        <x:v>Global</x:v>
      </x:c>
      <x:c r="O5" s="39" t="str">
        <x:v>Caso a caso</x:v>
      </x:c>
      <x:c r="P5" s="39" t="str">
        <x:v>Capital privado de longo prazo para fundadores desde o início, com foco em grandes transformações tecnológicas.</x:v>
      </x:c>
      <x:c r="Q5" s="39" t="str">
        <x:v>Mercado grande; fundadores excepcionais; tecnologia transformadora</x:v>
      </x:c>
      <x:c r="R5" s="39" t="str">
        <x:v>info@picuscap.com</x:v>
      </x:c>
      <x:c r="S5" s="39" t="str">
        <x:v>Website</x:v>
      </x:c>
      <x:c r="T5" s="39" t="str">
        <x:v>https://www.picuscap.com/philosophy/</x:v>
      </x:c>
      <x:c r="U5" s="39" t="str">
        <x:v>https://www.picuscap.com/team/</x:v>
      </x:c>
      <x:c r="V5" s="44" t="str">
        <x:v>2026-09-09</x:v>
      </x:c>
      <x:c r="W5" s="39" t="str">
        <x:v>Alta</x:v>
      </x:c>
      <x:c r="X5" s="39" t="str"/>
    </x:row>
    <x:row r="6" ht="40" customHeight="1">
      <x:c r="A6" s="39" t="str">
        <x:v>INV005</x:v>
      </x:c>
      <x:c r="B6" s="39" t="str">
        <x:v>Speedinvest</x:v>
      </x:c>
      <x:c r="C6" s="39" t="str">
        <x:v>VC</x:v>
      </x:c>
      <x:c r="D6" s="39" t="str">
        <x:v>https://www.speedinvest.com/</x:v>
      </x:c>
      <x:c r="E6" s="39" t="str">
        <x:v>Áustria</x:v>
      </x:c>
      <x:c r="F6" s="39" t="str">
        <x:v>Viena; Berlim; Londres; Paris; Munique</x:v>
      </x:c>
      <x:c r="G6" s="39" t="str">
        <x:v>Inception; Pre-seed; Seed; Growth</x:v>
      </x:c>
      <x:c r="H6" s="43" t="n">
        <x:v>0.25</x:v>
      </x:c>
      <x:c r="I6" s="43" t="n">
        <x:v>30</x:v>
      </x:c>
      <x:c r="J6" s="39" t="str">
        <x:v>EUR</x:v>
      </x:c>
      <x:c r="K6" s="39" t="str">
        <x:v>€250k–€5m em inception/seed; €5m–€30m em growth.</x:v>
      </x:c>
      <x:c r="L6" s="39" t="str">
        <x:v>AI &amp; Infra; Climate &amp; Industrial; Deeptech; Fintech; Health &amp; Bio; Marketplaces &amp; Consumer</x:v>
      </x:c>
      <x:c r="M6" s="39" t="str">
        <x:v>B2B; B2C; marketplaces</x:v>
      </x:c>
      <x:c r="N6" s="39" t="str">
        <x:v>Europa e além</x:v>
      </x:c>
      <x:c r="O6" s="39" t="str">
        <x:v>Sim; 85% das rondas iniciais lideradas</x:v>
      </x:c>
      <x:c r="P6" s="39" t="str">
        <x:v>Fundo europeu multi-equipa com especialistas setoriais e capacidade desde a criação até growth.</x:v>
      </x:c>
      <x:c r="Q6" s="39" t="str">
        <x:v>Fundadores persistentes; categoria grande; adequação à equipa especialista</x:v>
      </x:c>
      <x:c r="R6" s="39" t="str">
        <x:v>Via website</x:v>
      </x:c>
      <x:c r="S6" s="39" t="str">
        <x:v>Formulário / contacto</x:v>
      </x:c>
      <x:c r="T6" s="39" t="str">
        <x:v>https://www.speedinvest.com/how-we-work</x:v>
      </x:c>
      <x:c r="U6" s="39" t="str">
        <x:v>https://www.speedinvest.com/team</x:v>
      </x:c>
      <x:c r="V6" s="44" t="str">
        <x:v>2026-09-09</x:v>
      </x:c>
      <x:c r="W6" s="39" t="str">
        <x:v>Alta</x:v>
      </x:c>
      <x:c r="X6" s="39" t="str"/>
    </x:row>
    <x:row r="7" ht="40" customHeight="1">
      <x:c r="A7" s="39" t="str">
        <x:v>INV006</x:v>
      </x:c>
      <x:c r="B7" s="39" t="str">
        <x:v>Index Ventures</x:v>
      </x:c>
      <x:c r="C7" s="39" t="str">
        <x:v>VC</x:v>
      </x:c>
      <x:c r="D7" s="39" t="str">
        <x:v>https://www.indexventures.com/</x:v>
      </x:c>
      <x:c r="E7" s="39" t="str">
        <x:v>Reino Unido / Suíça</x:v>
      </x:c>
      <x:c r="F7" s="39" t="str">
        <x:v>Londres; Genebra; São Francisco; Nova Iorque</x:v>
      </x:c>
      <x:c r="G7" s="39" t="str">
        <x:v>Seed; Venture; Growth; IPO</x:v>
      </x:c>
      <x:c r="H7" s="43"/>
      <x:c r="I7" s="43"/>
      <x:c r="J7" s="39" t="str"/>
      <x:c r="K7" s="39" t="str">
        <x:v>Faixa geral não publicada na fonte usada.</x:v>
      </x:c>
      <x:c r="L7" s="39" t="str">
        <x:v>Software; AI; fintech; security; consumer; marketplaces; health</x:v>
      </x:c>
      <x:c r="M7" s="39" t="str">
        <x:v>B2B; B2C; marketplaces</x:v>
      </x:c>
      <x:c r="N7" s="39" t="str">
        <x:v>Global, com raízes fortes na Europa</x:v>
      </x:c>
      <x:c r="O7" s="39" t="str">
        <x:v>Sim / co-lidera</x:v>
      </x:c>
      <x:c r="P7" s="39" t="str">
        <x:v>Investidor multi-stage organizado por conhecimento de domínio, com relações longas desde seed até IPO.</x:v>
      </x:c>
      <x:c r="Q7" s="39" t="str">
        <x:v>Fundadores com visão; mercados grandes; convicção contrarian</x:v>
      </x:c>
      <x:c r="R7" s="39" t="str">
        <x:v>Contacto institucional</x:v>
      </x:c>
      <x:c r="S7" s="39" t="str">
        <x:v>Website / rede</x:v>
      </x:c>
      <x:c r="T7" s="39" t="str">
        <x:v>https://www.indexventures.com/companies/</x:v>
      </x:c>
      <x:c r="U7" s="39" t="str">
        <x:v>https://www.indexventures.com/team/</x:v>
      </x:c>
      <x:c r="V7" s="44" t="str">
        <x:v>2026-09-09</x:v>
      </x:c>
      <x:c r="W7" s="39" t="str">
        <x:v>Alta</x:v>
      </x:c>
      <x:c r="X7" s="39" t="str"/>
    </x:row>
    <x:row r="8" ht="40" customHeight="1">
      <x:c r="A8" s="39" t="str">
        <x:v>INV007</x:v>
      </x:c>
      <x:c r="B8" s="39" t="str">
        <x:v>Atomico</x:v>
      </x:c>
      <x:c r="C8" s="39" t="str">
        <x:v>VC</x:v>
      </x:c>
      <x:c r="D8" s="39" t="str">
        <x:v>https://atomico.com/</x:v>
      </x:c>
      <x:c r="E8" s="39" t="str">
        <x:v>Reino Unido</x:v>
      </x:c>
      <x:c r="F8" s="39" t="str">
        <x:v>Londres</x:v>
      </x:c>
      <x:c r="G8" s="39" t="str">
        <x:v>Inception; Seed; Series A; Growth; IPO</x:v>
      </x:c>
      <x:c r="H8" s="43"/>
      <x:c r="I8" s="43"/>
      <x:c r="J8" s="39" t="str"/>
      <x:c r="K8" s="39" t="str">
        <x:v>Faixa geral não publicada na fonte usada.</x:v>
      </x:c>
      <x:c r="L8" s="39" t="str">
        <x:v>AI; enterprise; climate; deeptech; fintech; health; consumer</x:v>
      </x:c>
      <x:c r="M8" s="39" t="str">
        <x:v>B2B; B2C</x:v>
      </x:c>
      <x:c r="N8" s="39" t="str">
        <x:v>Europa; apoio à expansão global</x:v>
      </x:c>
      <x:c r="O8" s="39" t="str">
        <x:v>Sim / co-lidera</x:v>
      </x:c>
      <x:c r="P8" s="39" t="str">
        <x:v>Criado para permitir que fundadores europeus construam empresas globais na Europa, com apoio desde a criação ao IPO.</x:v>
      </x:c>
      <x:c r="Q8" s="39" t="str">
        <x:v>Ambição global; inovação tecnológica; equipa</x:v>
      </x:c>
      <x:c r="R8" s="39" t="str">
        <x:v>Via website</x:v>
      </x:c>
      <x:c r="S8" s="39" t="str">
        <x:v>Website</x:v>
      </x:c>
      <x:c r="T8" s="39" t="str">
        <x:v>https://20.atomico.com/</x:v>
      </x:c>
      <x:c r="U8" s="39" t="str">
        <x:v>https://20.atomico.com/</x:v>
      </x:c>
      <x:c r="V8" s="44" t="str">
        <x:v>2026-09-09</x:v>
      </x:c>
      <x:c r="W8" s="39" t="str">
        <x:v>Média</x:v>
      </x:c>
      <x:c r="X8" s="39" t="str">
        <x:v>Página institucional atual confirma tese; composição detalhada da equipa requer revisão periódica.</x:v>
      </x:c>
    </x:row>
    <x:row r="9" ht="40" customHeight="1">
      <x:c r="A9" s="39" t="str">
        <x:v>INV008</x:v>
      </x:c>
      <x:c r="B9" s="39" t="str">
        <x:v>Balderton Capital</x:v>
      </x:c>
      <x:c r="C9" s="39" t="str">
        <x:v>VC</x:v>
      </x:c>
      <x:c r="D9" s="39" t="str">
        <x:v>https://www.balderton.com/</x:v>
      </x:c>
      <x:c r="E9" s="39" t="str">
        <x:v>Reino Unido</x:v>
      </x:c>
      <x:c r="F9" s="39" t="str">
        <x:v>Londres; presença europeia</x:v>
      </x:c>
      <x:c r="G9" s="39" t="str">
        <x:v>Seed; Early stage; Growth; IPO</x:v>
      </x:c>
      <x:c r="H9" s="43"/>
      <x:c r="I9" s="43"/>
      <x:c r="J9" s="39" t="str"/>
      <x:c r="K9" s="39" t="str">
        <x:v>Fundos early e growth; ticket geral não publicado na fonte usada.</x:v>
      </x:c>
      <x:c r="L9" s="39" t="str">
        <x:v>Tecnologia generalista; AI; fintech; enterprise; consumer; health; climate</x:v>
      </x:c>
      <x:c r="M9" s="39" t="str">
        <x:v>B2B; B2C</x:v>
      </x:c>
      <x:c r="N9" s="39" t="str">
        <x:v>Europa</x:v>
      </x:c>
      <x:c r="O9" s="39" t="str">
        <x:v>Sim / co-lidera</x:v>
      </x:c>
      <x:c r="P9" s="39" t="str">
        <x:v>Fundo europeu multi-stage, com parceria igualitária e apoio de seed até IPO.</x:v>
      </x:c>
      <x:c r="Q9" s="39" t="str">
        <x:v>Empresas tecnológicas ambiciosas nascidas na Europa</x:v>
      </x:c>
      <x:c r="R9" s="39" t="str">
        <x:v>Via website</x:v>
      </x:c>
      <x:c r="S9" s="39" t="str">
        <x:v>Website</x:v>
      </x:c>
      <x:c r="T9" s="39" t="str">
        <x:v>https://www.balderton.com/about-balderton/</x:v>
      </x:c>
      <x:c r="U9" s="39" t="str">
        <x:v>https://www.balderton.com/team/</x:v>
      </x:c>
      <x:c r="V9" s="44" t="str">
        <x:v>2026-09-09</x:v>
      </x:c>
      <x:c r="W9" s="39" t="str">
        <x:v>Alta</x:v>
      </x:c>
      <x:c r="X9" s="39" t="str"/>
    </x:row>
    <x:row r="10" ht="40" customHeight="1">
      <x:c r="A10" s="39" t="str">
        <x:v>INV009</x:v>
      </x:c>
      <x:c r="B10" s="39" t="str">
        <x:v>Cherry Ventures</x:v>
      </x:c>
      <x:c r="C10" s="39" t="str">
        <x:v>VC</x:v>
      </x:c>
      <x:c r="D10" s="39" t="str">
        <x:v>https://cherry.vc/</x:v>
      </x:c>
      <x:c r="E10" s="39" t="str">
        <x:v>Alemanha</x:v>
      </x:c>
      <x:c r="F10" s="39" t="str">
        <x:v>Berlim; Londres; Estocolmo</x:v>
      </x:c>
      <x:c r="G10" s="39" t="str">
        <x:v>Pre-seed; Seed; Series A</x:v>
      </x:c>
      <x:c r="H10" s="43" t="n">
        <x:v>2</x:v>
      </x:c>
      <x:c r="I10" s="43" t="n">
        <x:v>7</x:v>
      </x:c>
      <x:c r="J10" s="39" t="str">
        <x:v>EUR</x:v>
      </x:c>
      <x:c r="K10" s="39" t="str">
        <x:v>Ticket típico divulgado: €2m–€7m.</x:v>
      </x:c>
      <x:c r="L10" s="39" t="str">
        <x:v>Generalista; B2B software; fintech; industrial; healthtech; climate; consumer</x:v>
      </x:c>
      <x:c r="M10" s="39" t="str">
        <x:v>B2B; B2C</x:v>
      </x:c>
      <x:c r="N10" s="39" t="str">
        <x:v>Pan-europeu</x:v>
      </x:c>
      <x:c r="O10" s="39" t="str">
        <x:v>Sim / co-lidera</x:v>
      </x:c>
      <x:c r="P10" s="39" t="str">
        <x:v>Fundo early-stage com seed como núcleo; procura anomalia, fio condutor e personalidade na equipa.</x:v>
      </x:c>
      <x:c r="Q10" s="39" t="str">
        <x:v>Anomalia; coerência da visão; personalidade e resiliência</x:v>
      </x:c>
      <x:c r="R10" s="39" t="str">
        <x:v>Via website</x:v>
      </x:c>
      <x:c r="S10" s="39" t="str">
        <x:v>Website</x:v>
      </x:c>
      <x:c r="T10" s="39" t="str">
        <x:v>https://cherry.vc/about</x:v>
      </x:c>
      <x:c r="U10" s="39" t="str">
        <x:v>https://cherry.vc/team</x:v>
      </x:c>
      <x:c r="V10" s="44" t="str">
        <x:v>2026-09-09</x:v>
      </x:c>
      <x:c r="W10" s="39" t="str">
        <x:v>Alta</x:v>
      </x:c>
      <x:c r="X10" s="39" t="str"/>
    </x:row>
    <x:row r="11" ht="40" customHeight="1">
      <x:c r="A11" s="39" t="str">
        <x:v>INV010</x:v>
      </x:c>
      <x:c r="B11" s="39" t="str">
        <x:v>Creandum</x:v>
      </x:c>
      <x:c r="C11" s="39" t="str">
        <x:v>VC</x:v>
      </x:c>
      <x:c r="D11" s="39" t="str">
        <x:v>https://creandum.com/</x:v>
      </x:c>
      <x:c r="E11" s="39" t="str">
        <x:v>Suécia</x:v>
      </x:c>
      <x:c r="F11" s="39" t="str">
        <x:v>Estocolmo; Londres; Berlim; São Francisco</x:v>
      </x:c>
      <x:c r="G11" s="39" t="str">
        <x:v>Early stage</x:v>
      </x:c>
      <x:c r="H11" s="43"/>
      <x:c r="I11" s="43"/>
      <x:c r="J11" s="39" t="str"/>
      <x:c r="K11" s="39" t="str">
        <x:v>Faixa geral não publicada na fonte usada.</x:v>
      </x:c>
      <x:c r="L11" s="39" t="str">
        <x:v>SaaS; AI; consumer; climate; fintech; deeptech</x:v>
      </x:c>
      <x:c r="M11" s="39" t="str">
        <x:v>B2B; B2C</x:v>
      </x:c>
      <x:c r="N11" s="39" t="str">
        <x:v>Europa; apoio global</x:v>
      </x:c>
      <x:c r="O11" s="39" t="str">
        <x:v>Sim / co-lidera</x:v>
      </x:c>
      <x:c r="P11" s="39" t="str">
        <x:v>Fundo tecnológico early-stage europeu que trabalha em equipa e combina experiência de operadores, fundadores e especialistas.</x:v>
      </x:c>
      <x:c r="Q11" s="39" t="str">
        <x:v>Fundadores excepcionais; potencial global; convicção temática</x:v>
      </x:c>
      <x:c r="R11" s="39" t="str">
        <x:v>Via website</x:v>
      </x:c>
      <x:c r="S11" s="39" t="str">
        <x:v>Website</x:v>
      </x:c>
      <x:c r="T11" s="39" t="str">
        <x:v>https://creandum.com/</x:v>
      </x:c>
      <x:c r="U11" s="39" t="str">
        <x:v>https://creandum.com/team/</x:v>
      </x:c>
      <x:c r="V11" s="44" t="str">
        <x:v>2026-09-09</x:v>
      </x:c>
      <x:c r="W11" s="39" t="str">
        <x:v>Média</x:v>
      </x:c>
      <x:c r="X11" s="39" t="str"/>
    </x:row>
    <x:row r="12" ht="40" customHeight="1">
      <x:c r="A12" s="39" t="str">
        <x:v>INV011</x:v>
      </x:c>
      <x:c r="B12" s="39" t="str">
        <x:v>Northzone</x:v>
      </x:c>
      <x:c r="C12" s="39" t="str">
        <x:v>VC</x:v>
      </x:c>
      <x:c r="D12" s="39" t="str">
        <x:v>https://northzone.com/</x:v>
      </x:c>
      <x:c r="E12" s="39" t="str">
        <x:v>Reino Unido / Suécia</x:v>
      </x:c>
      <x:c r="F12" s="39" t="str">
        <x:v>Londres; Estocolmo; Amesterdão; Nova Iorque</x:v>
      </x:c>
      <x:c r="G12" s="39" t="str">
        <x:v>Early stage; Growth</x:v>
      </x:c>
      <x:c r="H12" s="43"/>
      <x:c r="I12" s="43"/>
      <x:c r="J12" s="39" t="str"/>
      <x:c r="K12" s="39" t="str">
        <x:v>Faixa geral não publicada na fonte usada.</x:v>
      </x:c>
      <x:c r="L12" s="39" t="str">
        <x:v>AI; software; fintech; consumer; health; climate</x:v>
      </x:c>
      <x:c r="M12" s="39" t="str">
        <x:v>B2B; B2C</x:v>
      </x:c>
      <x:c r="N12" s="39" t="str">
        <x:v>Europa e EUA</x:v>
      </x:c>
      <x:c r="O12" s="39" t="str">
        <x:v>Sim / co-lidera</x:v>
      </x:c>
      <x:c r="P12" s="39" t="str">
        <x:v>Fundo multi-stage com equipas locais na Europa e EUA, orientado por teses e conhecimento setorial.</x:v>
      </x:c>
      <x:c r="Q12" s="39" t="str">
        <x:v>Mudanças estruturais; equipas fortes; capacidade de criar categoria</x:v>
      </x:c>
      <x:c r="R12" s="39" t="str">
        <x:v>hello@northzone.com</x:v>
      </x:c>
      <x:c r="S12" s="39" t="str">
        <x:v>Website</x:v>
      </x:c>
      <x:c r="T12" s="39" t="str">
        <x:v>https://northzone.com/</x:v>
      </x:c>
      <x:c r="U12" s="39" t="str">
        <x:v>https://northzone.com/team</x:v>
      </x:c>
      <x:c r="V12" s="44" t="str">
        <x:v>2026-09-09</x:v>
      </x:c>
      <x:c r="W12" s="39" t="str">
        <x:v>Alta</x:v>
      </x:c>
      <x:c r="X12" s="39" t="str"/>
    </x:row>
    <x:row r="13" ht="40" customHeight="1">
      <x:c r="A13" s="39" t="str">
        <x:v>INV012</x:v>
      </x:c>
      <x:c r="B13" s="39" t="str">
        <x:v>Project A</x:v>
      </x:c>
      <x:c r="C13" s="39" t="str">
        <x:v>VC</x:v>
      </x:c>
      <x:c r="D13" s="39" t="str">
        <x:v>https://www.project-a.com/</x:v>
      </x:c>
      <x:c r="E13" s="39" t="str">
        <x:v>Alemanha</x:v>
      </x:c>
      <x:c r="F13" s="39" t="str">
        <x:v>Berlim; Londres</x:v>
      </x:c>
      <x:c r="G13" s="39" t="str">
        <x:v>Pre-ideation; Pre-seed; Seed; Series A; follow-on</x:v>
      </x:c>
      <x:c r="H13" s="43" t="n">
        <x:v>1</x:v>
      </x:c>
      <x:c r="I13" s="43" t="n">
        <x:v>10</x:v>
      </x:c>
      <x:c r="J13" s="39" t="str">
        <x:v>USD</x:v>
      </x:c>
      <x:c r="K13" s="39" t="str">
        <x:v>Cheque inicial $1m–$10m; reserva até $30m por empresa.</x:v>
      </x:c>
      <x:c r="L13" s="39" t="str">
        <x:v>Climate &amp; Energy; Resilience &amp; Defence; Financial Technology; Global Supply Chains</x:v>
      </x:c>
      <x:c r="M13" s="39" t="str">
        <x:v>B2B; B2C</x:v>
      </x:c>
      <x:c r="N13" s="39" t="str">
        <x:v>Europa</x:v>
      </x:c>
      <x:c r="O13" s="39" t="str">
        <x:v>Sim</x:v>
      </x:c>
      <x:c r="P13" s="39" t="str">
        <x:v>VC early-stage com grande equipa operacional interna para apoiar tecnologia, dados, GTM, talento e produto.</x:v>
      </x:c>
      <x:c r="Q13" s="39" t="str">
        <x:v>Ambição; mercado; capacidade de execução; adequação aos temas</x:v>
      </x:c>
      <x:c r="R13" s="39" t="str">
        <x:v>Via website</x:v>
      </x:c>
      <x:c r="S13" s="39" t="str">
        <x:v>Website</x:v>
      </x:c>
      <x:c r="T13" s="39" t="str">
        <x:v>https://www.project-a.com/</x:v>
      </x:c>
      <x:c r="U13" s="39" t="str">
        <x:v>https://www.project-a.com/team/</x:v>
      </x:c>
      <x:c r="V13" s="44" t="str">
        <x:v>2026-09-09</x:v>
      </x:c>
      <x:c r="W13" s="39" t="str">
        <x:v>Alta</x:v>
      </x:c>
      <x:c r="X13" s="39" t="str"/>
    </x:row>
    <x:row r="14" ht="40" customHeight="1">
      <x:c r="A14" s="39" t="str">
        <x:v>INV013</x:v>
      </x:c>
      <x:c r="B14" s="39" t="str">
        <x:v>Dawn Capital</x:v>
      </x:c>
      <x:c r="C14" s="39" t="str">
        <x:v>VC</x:v>
      </x:c>
      <x:c r="D14" s="39" t="str">
        <x:v>https://www.dawncapital.com/</x:v>
      </x:c>
      <x:c r="E14" s="39" t="str">
        <x:v>Reino Unido</x:v>
      </x:c>
      <x:c r="F14" s="39" t="str">
        <x:v>Londres</x:v>
      </x:c>
      <x:c r="G14" s="39" t="str">
        <x:v>Series A; Series B; follow-on Series C+</x:v>
      </x:c>
      <x:c r="H14" s="43" t="n">
        <x:v>10</x:v>
      </x:c>
      <x:c r="I14" s="43" t="n">
        <x:v>40</x:v>
      </x:c>
      <x:c r="J14" s="39" t="str">
        <x:v>USD</x:v>
      </x:c>
      <x:c r="K14" s="39" t="str">
        <x:v>Dawn V: investimento inicial de $10m–$40m em Series A/B.</x:v>
      </x:c>
      <x:c r="L14" s="39" t="str">
        <x:v>B2B software; AI; automation; data; security; fintech; vertical software</x:v>
      </x:c>
      <x:c r="M14" s="39" t="str">
        <x:v>B2B SaaS</x:v>
      </x:c>
      <x:c r="N14" s="39" t="str">
        <x:v>Europa, com ambição global</x:v>
      </x:c>
      <x:c r="O14" s="39" t="str">
        <x:v>Sim / co-lidera</x:v>
      </x:c>
      <x:c r="P14" s="39" t="str">
        <x:v>Especialista europeu em B2B software; acompanha vencedores desde Series A/B até exit.</x:v>
      </x:c>
      <x:c r="Q14" s="39" t="str">
        <x:v>Software mission-critical; expansão global; forte equipa e mercado</x:v>
      </x:c>
      <x:c r="R14" s="39" t="str">
        <x:v>hello@dawncapital.com</x:v>
      </x:c>
      <x:c r="S14" s="39" t="str">
        <x:v>Email / website</x:v>
      </x:c>
      <x:c r="T14" s="39" t="str">
        <x:v>https://www.dawncapital.com/content-hub/dawn-raises-700m-to-invest-in-the-next-generation-ofeuropean-b2b-software-winners</x:v>
      </x:c>
      <x:c r="U14" s="39" t="str">
        <x:v>https://www.dawncapital.com/team</x:v>
      </x:c>
      <x:c r="V14" s="44" t="str">
        <x:v>2026-09-09</x:v>
      </x:c>
      <x:c r="W14" s="39" t="str">
        <x:v>Alta</x:v>
      </x:c>
      <x:c r="X14" s="39" t="str"/>
    </x:row>
    <x:row r="15" ht="40" customHeight="1">
      <x:c r="A15" s="39" t="str">
        <x:v>INV014</x:v>
      </x:c>
      <x:c r="B15" s="39" t="str">
        <x:v>Octopus Ventures</x:v>
      </x:c>
      <x:c r="C15" s="39" t="str">
        <x:v>VC</x:v>
      </x:c>
      <x:c r="D15" s="39" t="str">
        <x:v>https://octopusventures.com/</x:v>
      </x:c>
      <x:c r="E15" s="39" t="str">
        <x:v>Reino Unido</x:v>
      </x:c>
      <x:c r="F15" s="39" t="str">
        <x:v>Londres</x:v>
      </x:c>
      <x:c r="G15" s="39" t="str">
        <x:v>Pre-seed; Seed; Series A; Growth</x:v>
      </x:c>
      <x:c r="H15" s="43"/>
      <x:c r="I15" s="43"/>
      <x:c r="J15" s="39" t="str"/>
      <x:c r="K15" s="39" t="str">
        <x:v>Varia por equipa e fundo.</x:v>
      </x:c>
      <x:c r="L15" s="39" t="str">
        <x:v>B2B Software; Bio; Climate; Consumer; Deep Tech; Fintech; Health</x:v>
      </x:c>
      <x:c r="M15" s="39" t="str">
        <x:v>B2B; B2C</x:v>
      </x:c>
      <x:c r="N15" s="39" t="str">
        <x:v>Reino Unido e Europa</x:v>
      </x:c>
      <x:c r="O15" s="39" t="str">
        <x:v>Caso a caso</x:v>
      </x:c>
      <x:c r="P15" s="39" t="str">
        <x:v>Fundo com equipas setoriais e apoio dedicado de people &amp; talent para investimentos early-stage.</x:v>
      </x:c>
      <x:c r="Q15" s="39" t="str">
        <x:v>Conhecimento setorial; potencial de impacto; equipa</x:v>
      </x:c>
      <x:c r="R15" s="39" t="str">
        <x:v>Formulário no website</x:v>
      </x:c>
      <x:c r="S15" s="39" t="str">
        <x:v>Website</x:v>
      </x:c>
      <x:c r="T15" s="39" t="str">
        <x:v>https://octopusventures.com/</x:v>
      </x:c>
      <x:c r="U15" s="39" t="str">
        <x:v>https://octopusventures.com/</x:v>
      </x:c>
      <x:c r="V15" s="44" t="str">
        <x:v>2026-09-09</x:v>
      </x:c>
      <x:c r="W15" s="39" t="str">
        <x:v>Alta</x:v>
      </x:c>
      <x:c r="X15" s="39" t="str"/>
    </x:row>
    <x:row r="16" ht="40" customHeight="1">
      <x:c r="A16" s="39" t="str">
        <x:v>INV015</x:v>
      </x:c>
      <x:c r="B16" s="39" t="str">
        <x:v>Notion Capital</x:v>
      </x:c>
      <x:c r="C16" s="39" t="str">
        <x:v>VC</x:v>
      </x:c>
      <x:c r="D16" s="39" t="str">
        <x:v>https://www.notion.vc/</x:v>
      </x:c>
      <x:c r="E16" s="39" t="str">
        <x:v>Reino Unido</x:v>
      </x:c>
      <x:c r="F16" s="39" t="str">
        <x:v>Londres</x:v>
      </x:c>
      <x:c r="G16" s="39" t="str">
        <x:v>Series A; Growth</x:v>
      </x:c>
      <x:c r="H16" s="43"/>
      <x:c r="I16" s="43"/>
      <x:c r="J16" s="39" t="str"/>
      <x:c r="K16" s="39" t="str">
        <x:v>Faixa geral não publicada na fonte usada.</x:v>
      </x:c>
      <x:c r="L16" s="39" t="str">
        <x:v>B2B SaaS; cloud; AI; fintech; vertical software; marketplaces</x:v>
      </x:c>
      <x:c r="M16" s="39" t="str">
        <x:v>B2B</x:v>
      </x:c>
      <x:c r="N16" s="39" t="str">
        <x:v>Europa, com expansão global</x:v>
      </x:c>
      <x:c r="O16" s="39" t="str">
        <x:v>Sim / co-lidera</x:v>
      </x:c>
      <x:c r="P16" s="39" t="str">
        <x:v>Especialista em software B2B e cloud, com forte plataforma operacional para crescimento e expansão internacional.</x:v>
      </x:c>
      <x:c r="Q16" s="39" t="str">
        <x:v>Receita recorrente; potencial de categoria; capacidade de escalar</x:v>
      </x:c>
      <x:c r="R16" s="39" t="str">
        <x:v>info@notion.vc</x:v>
      </x:c>
      <x:c r="S16" s="39" t="str">
        <x:v>Website</x:v>
      </x:c>
      <x:c r="T16" s="39" t="str">
        <x:v>https://www.notion.vc/resources/notion-capital-on-track-to-becoming-the-go-to-investor-for-cloud-and-saas-entrepreneurs</x:v>
      </x:c>
      <x:c r="U16" s="39" t="str">
        <x:v>https://www.notion.vc/our-team/</x:v>
      </x:c>
      <x:c r="V16" s="44" t="str">
        <x:v>2026-09-09</x:v>
      </x:c>
      <x:c r="W16" s="39" t="str">
        <x:v>Média</x:v>
      </x:c>
      <x:c r="X16" s="39" t="str">
        <x:v>A tese atual está dispersa por conteúdos e investimentos recentes.</x:v>
      </x:c>
    </x:row>
    <x:row r="17" ht="40" customHeight="1">
      <x:c r="A17" s="39" t="str">
        <x:v>INV016</x:v>
      </x:c>
      <x:c r="B17" s="39" t="str">
        <x:v>Nauta Capital</x:v>
      </x:c>
      <x:c r="C17" s="39" t="str">
        <x:v>VC</x:v>
      </x:c>
      <x:c r="D17" s="39" t="str">
        <x:v>https://www.nautacapital.com/</x:v>
      </x:c>
      <x:c r="E17" s="39" t="str">
        <x:v>Espanha / Reino Unido</x:v>
      </x:c>
      <x:c r="F17" s="39" t="str">
        <x:v>Barcelona; Londres</x:v>
      </x:c>
      <x:c r="G17" s="39" t="str">
        <x:v>Seed+; Series A</x:v>
      </x:c>
      <x:c r="H17" s="43" t="n">
        <x:v>1</x:v>
      </x:c>
      <x:c r="I17" s="43" t="n">
        <x:v>5</x:v>
      </x:c>
      <x:c r="J17" s="39" t="str">
        <x:v>EUR</x:v>
      </x:c>
      <x:c r="K17" s="39" t="str">
        <x:v>Ticket médio publicado: €1m–€5m.</x:v>
      </x:c>
      <x:c r="L17" s="39" t="str">
        <x:v>B2B software; RetailTech; RevenueTech; Fintech; Insurtech; Productivity; HealthTech; DevTools; AI; Security</x:v>
      </x:c>
      <x:c r="M17" s="39" t="str">
        <x:v>B2B SaaS</x:v>
      </x:c>
      <x:c r="N17" s="39" t="str">
        <x:v>Europa</x:v>
      </x:c>
      <x:c r="O17" s="39" t="str">
        <x:v>Sim / co-lidera</x:v>
      </x:c>
      <x:c r="P17" s="39" t="str">
        <x:v>Investe cedo em B2B software com produto operacional, mesmo antes de receita.</x:v>
      </x:c>
      <x:c r="Q17" s="39" t="str">
        <x:v>Produto; diferenciação; equipa; potencial pan-europeu</x:v>
      </x:c>
      <x:c r="R17" s="39" t="str">
        <x:v>Via website</x:v>
      </x:c>
      <x:c r="S17" s="39" t="str">
        <x:v>Website</x:v>
      </x:c>
      <x:c r="T17" s="39" t="str">
        <x:v>https://www.nautacapital.com/</x:v>
      </x:c>
      <x:c r="U17" s="39" t="str">
        <x:v>https://www.nautacapital.com/team</x:v>
      </x:c>
      <x:c r="V17" s="44" t="str">
        <x:v>2026-09-09</x:v>
      </x:c>
      <x:c r="W17" s="39" t="str">
        <x:v>Alta</x:v>
      </x:c>
      <x:c r="X17" s="39" t="str"/>
    </x:row>
    <x:row r="18" ht="40" customHeight="1">
      <x:c r="A18" s="39" t="str">
        <x:v>INV017</x:v>
      </x:c>
      <x:c r="B18" s="39" t="str">
        <x:v>K Fund</x:v>
      </x:c>
      <x:c r="C18" s="39" t="str">
        <x:v>VC</x:v>
      </x:c>
      <x:c r="D18" s="39" t="str">
        <x:v>https://www.kfund.vc/</x:v>
      </x:c>
      <x:c r="E18" s="39" t="str">
        <x:v>Espanha</x:v>
      </x:c>
      <x:c r="F18" s="39" t="str">
        <x:v>Madrid; presença em Portugal e Brasil</x:v>
      </x:c>
      <x:c r="G18" s="39" t="str">
        <x:v>Pre-seed; Seed; Series A+</x:v>
      </x:c>
      <x:c r="H18" s="43" t="n">
        <x:v>0.1</x:v>
      </x:c>
      <x:c r="I18" s="43" t="n">
        <x:v>10</x:v>
      </x:c>
      <x:c r="J18" s="39" t="str">
        <x:v>EUR</x:v>
      </x:c>
      <x:c r="K18" s="39" t="str">
        <x:v>Família de fundos com €100k–€10m; Leadwind €5m–€10m.</x:v>
      </x:c>
      <x:c r="L18" s="39" t="str">
        <x:v>Software; B2B; deeptech; fintech; logistics; foodtech; climate infrastructure</x:v>
      </x:c>
      <x:c r="M18" s="39" t="str">
        <x:v>B2B; B2C</x:v>
      </x:c>
      <x:c r="N18" s="39" t="str">
        <x:v>Espanha; Sul da Europa; América Latina</x:v>
      </x:c>
      <x:c r="O18" s="39" t="str">
        <x:v>Sim / co-lidera</x:v>
      </x:c>
      <x:c r="P18" s="39" t="str">
        <x:v>Família de fundos early-stage que acompanha desde pre-seed até Series A+ e valoriza fundadores contrarian.</x:v>
      </x:c>
      <x:c r="Q18" s="39" t="str">
        <x:v>Fundadores; tecnologia; produto; potencial internacional</x:v>
      </x:c>
      <x:c r="R18" s="39" t="str">
        <x:v>Via website</x:v>
      </x:c>
      <x:c r="S18" s="39" t="str">
        <x:v>Website</x:v>
      </x:c>
      <x:c r="T18" s="39" t="str">
        <x:v>https://www.kfund.vc/post/kfund-tech-due-diligence</x:v>
      </x:c>
      <x:c r="U18" s="39" t="str">
        <x:v>https://www.kfund.vc/team</x:v>
      </x:c>
      <x:c r="V18" s="44" t="str">
        <x:v>2026-09-09</x:v>
      </x:c>
      <x:c r="W18" s="39" t="str">
        <x:v>Alta</x:v>
      </x:c>
      <x:c r="X18" s="39" t="str"/>
    </x:row>
    <x:row r="19" ht="40" customHeight="1">
      <x:c r="A19" s="39" t="str">
        <x:v>INV018</x:v>
      </x:c>
      <x:c r="B19" s="39" t="str">
        <x:v>Samaipata</x:v>
      </x:c>
      <x:c r="C19" s="39" t="str">
        <x:v>VC</x:v>
      </x:c>
      <x:c r="D19" s="39" t="str">
        <x:v>https://www.samaipata.vc/</x:v>
      </x:c>
      <x:c r="E19" s="39" t="str">
        <x:v>Espanha</x:v>
      </x:c>
      <x:c r="F19" s="39" t="str">
        <x:v>Madrid; Londres; Paris</x:v>
      </x:c>
      <x:c r="G19" s="39" t="str">
        <x:v>Pre-seed; Seed</x:v>
      </x:c>
      <x:c r="H19" s="43" t="n">
        <x:v>1</x:v>
      </x:c>
      <x:c r="I19" s="43" t="n">
        <x:v>3</x:v>
      </x:c>
      <x:c r="J19" s="39" t="str">
        <x:v>EUR</x:v>
      </x:c>
      <x:c r="K19" s="39" t="str">
        <x:v>Fund II: €1m–€3m, média €2m. Tese pode evoluir por fundo.</x:v>
      </x:c>
      <x:c r="L19" s="39" t="str">
        <x:v>Tech com network effects; AI; marketplaces; plataformas digitais</x:v>
      </x:c>
      <x:c r="M19" s="39" t="str">
        <x:v>B2B; B2C; marketplaces</x:v>
      </x:c>
      <x:c r="N19" s="39" t="str">
        <x:v>Europa: Sul da Europa, França, Benelux, DACH, UK &amp; Ireland</x:v>
      </x:c>
      <x:c r="O19" s="39" t="str">
        <x:v>Tipicamente sim</x:v>
      </x:c>
      <x:c r="P19" s="39" t="str">
        <x:v>Fundo de founders para empresas tecnológicas europeias com efeitos de rede e defensibilidade.</x:v>
      </x:c>
      <x:c r="Q19" s="39" t="str">
        <x:v>Mercado capaz de &gt;€100m de margem/receita; unit economics; cap table; equipa</x:v>
      </x:c>
      <x:c r="R19" s="39" t="str">
        <x:v>Via website</x:v>
      </x:c>
      <x:c r="S19" s="39" t="str">
        <x:v>Website</x:v>
      </x:c>
      <x:c r="T19" s="39" t="str">
        <x:v>https://www.samaipata.vc/post/the-founders-q-a</x:v>
      </x:c>
      <x:c r="U19" s="39" t="str">
        <x:v>https://www.samaipata.vc/samaipata-team</x:v>
      </x:c>
      <x:c r="V19" s="44" t="str">
        <x:v>2026-09-09</x:v>
      </x:c>
      <x:c r="W19" s="39" t="str">
        <x:v>Alta</x:v>
      </x:c>
      <x:c r="X19" s="39" t="str">
        <x:v>Dados de ticket marcados como Fund II; confirmar para Fund III.</x:v>
      </x:c>
    </x:row>
    <x:row r="20" ht="40" customHeight="1">
      <x:c r="A20" s="39" t="str">
        <x:v>INV019</x:v>
      </x:c>
      <x:c r="B20" s="39" t="str">
        <x:v>Portugal Ventures</x:v>
      </x:c>
      <x:c r="C20" s="39" t="str">
        <x:v>VC público</x:v>
      </x:c>
      <x:c r="D20" s="39" t="str">
        <x:v>https://www.portugalventures.pt/</x:v>
      </x:c>
      <x:c r="E20" s="39" t="str">
        <x:v>Portugal</x:v>
      </x:c>
      <x:c r="F20" s="39" t="str">
        <x:v>Porto; Lisboa</x:v>
      </x:c>
      <x:c r="G20" s="39" t="str">
        <x:v>Pre-seed; Seed; Series A</x:v>
      </x:c>
      <x:c r="H20" s="43"/>
      <x:c r="I20" s="43" t="n">
        <x:v>6</x:v>
      </x:c>
      <x:c r="J20" s="39" t="str">
        <x:v>EUR</x:v>
      </x:c>
      <x:c r="K20" s="39" t="str">
        <x:v>Website atual: até €6m; chamadas específicas podem ter limites inferiores.</x:v>
      </x:c>
      <x:c r="L20" s="39" t="str">
        <x:v>Digital; Industry; Life Sciences; Tourism</x:v>
      </x:c>
      <x:c r="M20" s="39" t="str">
        <x:v>B2B; B2C</x:v>
      </x:c>
      <x:c r="N20" s="39" t="str">
        <x:v>Startups com sede em Portugal</x:v>
      </x:c>
      <x:c r="O20" s="39" t="str">
        <x:v>Caso a caso</x:v>
      </x:c>
      <x:c r="P20" s="39" t="str">
        <x:v>Investe em startups tecnológicas portuguesas com crescimento, inovação e internacionalização.</x:v>
      </x:c>
      <x:c r="Q20" s="39" t="str">
        <x:v>Equipa; inovação; mercado; tração; internacionalização</x:v>
      </x:c>
      <x:c r="R20" s="39" t="str">
        <x:v>contact@portugalventures.pt</x:v>
      </x:c>
      <x:c r="S20" s="39" t="str">
        <x:v>Formulário / chamadas</x:v>
      </x:c>
      <x:c r="T20" s="39" t="str">
        <x:v>https://www.portugalventures.pt/</x:v>
      </x:c>
      <x:c r="U20" s="39" t="str">
        <x:v>https://www.portugalventures.pt/en/team/</x:v>
      </x:c>
      <x:c r="V20" s="44" t="str">
        <x:v>2026-09-09</x:v>
      </x:c>
      <x:c r="W20" s="39" t="str">
        <x:v>Alta</x:v>
      </x:c>
      <x:c r="X20" s="39" t="str">
        <x:v>Separar regras por call ao qualificar uma oportunidade.</x:v>
      </x:c>
    </x:row>
    <x:row r="21" ht="40" customHeight="1">
      <x:c r="A21" s="39" t="str">
        <x:v>INV020</x:v>
      </x:c>
      <x:c r="B21" s="39" t="str">
        <x:v>Indico Capital Partners</x:v>
      </x:c>
      <x:c r="C21" s="39" t="str">
        <x:v>VC</x:v>
      </x:c>
      <x:c r="D21" s="39" t="str">
        <x:v>https://www.indicocapital.com/</x:v>
      </x:c>
      <x:c r="E21" s="39" t="str">
        <x:v>Portugal</x:v>
      </x:c>
      <x:c r="F21" s="39" t="str">
        <x:v>Lisboa</x:v>
      </x:c>
      <x:c r="G21" s="39" t="str">
        <x:v>Pre-seed; Seed; Venture; Growth</x:v>
      </x:c>
      <x:c r="H21" s="43" t="n">
        <x:v>0.25</x:v>
      </x:c>
      <x:c r="I21" s="43" t="n">
        <x:v>10</x:v>
      </x:c>
      <x:c r="J21" s="39" t="str">
        <x:v>EUR</x:v>
      </x:c>
      <x:c r="K21" s="39" t="str">
        <x:v>Faixa publicada: €250k–€10m; programas e fundos específicos variam.</x:v>
      </x:c>
      <x:c r="L21" s="39" t="str">
        <x:v>AI; Deep Tech; SaaS; Fintech; IoT/Robotics; Space; Health; Consumer; Ocean</x:v>
      </x:c>
      <x:c r="M21" s="39" t="str">
        <x:v>B2B; B2C; sustainable SMEs</x:v>
      </x:c>
      <x:c r="N21" s="39" t="str">
        <x:v>Portugal, Espanha, Itália e diásporas; expansão global</x:v>
      </x:c>
      <x:c r="O21" s="39" t="str">
        <x:v>Sim / co-lidera</x:v>
      </x:c>
      <x:c r="P21" s="39" t="str">
        <x:v>Apoia talento do sul da Europa a construir empresas tecnológicas e sustentáveis globais.</x:v>
      </x:c>
      <x:c r="Q21" s="39" t="str">
        <x:v>Equipa ambiciosa; execução; mercado global; escalabilidade</x:v>
      </x:c>
      <x:c r="R21" s="39" t="str">
        <x:v>Via website</x:v>
      </x:c>
      <x:c r="S21" s="39" t="str">
        <x:v>Website</x:v>
      </x:c>
      <x:c r="T21" s="39" t="str">
        <x:v>https://www.indicocapital.com/about-us</x:v>
      </x:c>
      <x:c r="U21" s="39" t="str">
        <x:v>https://www.indicocapital.com/about-us</x:v>
      </x:c>
      <x:c r="V21" s="44" t="str">
        <x:v>2026-09-09</x:v>
      </x:c>
      <x:c r="W21" s="39" t="str">
        <x:v>Alta</x:v>
      </x:c>
      <x:c r="X21" s="39" t="str"/>
    </x:row>
    <x:row r="22" ht="40" customHeight="1">
      <x:c r="A22" s="39" t="str">
        <x:v>INV021</x:v>
      </x:c>
      <x:c r="B22" s="39" t="str">
        <x:v>Shilling</x:v>
      </x:c>
      <x:c r="C22" s="39" t="str">
        <x:v>VC</x:v>
      </x:c>
      <x:c r="D22" s="39" t="str">
        <x:v>https://www.shilling.vc/</x:v>
      </x:c>
      <x:c r="E22" s="39" t="str">
        <x:v>Portugal</x:v>
      </x:c>
      <x:c r="F22" s="39" t="str">
        <x:v>Lisboa</x:v>
      </x:c>
      <x:c r="G22" s="39" t="str">
        <x:v>Pre-seed; Seed</x:v>
      </x:c>
      <x:c r="H22" s="43" t="n">
        <x:v>0.1</x:v>
      </x:c>
      <x:c r="I22" s="43" t="n">
        <x:v>1</x:v>
      </x:c>
      <x:c r="J22" s="39" t="str">
        <x:v>EUR</x:v>
      </x:c>
      <x:c r="K22" s="39" t="str">
        <x:v>Investimento típico publicado: €100k–€1m.</x:v>
      </x:c>
      <x:c r="L22" s="39" t="str">
        <x:v>Tecnologia generalista; software; consumer; marketplaces</x:v>
      </x:c>
      <x:c r="M22" s="39" t="str">
        <x:v>B2B; B2C</x:v>
      </x:c>
      <x:c r="N22" s="39" t="str">
        <x:v>Portugal / Europa; ambição global</x:v>
      </x:c>
      <x:c r="O22" s="39" t="str">
        <x:v>Caso a caso</x:v>
      </x:c>
      <x:c r="P22" s="39" t="str">
        <x:v>Investe muito cedo e mobiliza uma comunidade de founders e operadores como LPs e advisors.</x:v>
      </x:c>
      <x:c r="Q22" s="39" t="str">
        <x:v>Ideia; equipa; drive global</x:v>
      </x:c>
      <x:c r="R22" s="39" t="str">
        <x:v>team@shilling.vc</x:v>
      </x:c>
      <x:c r="S22" s="39" t="str">
        <x:v>Formulário de pitch</x:v>
      </x:c>
      <x:c r="T22" s="39" t="str">
        <x:v>https://www.shilling.vc/</x:v>
      </x:c>
      <x:c r="U22" s="39" t="str">
        <x:v>https://www.shilling.vc/team</x:v>
      </x:c>
      <x:c r="V22" s="44" t="str">
        <x:v>2026-09-09</x:v>
      </x:c>
      <x:c r="W22" s="39" t="str">
        <x:v>Alta</x:v>
      </x:c>
      <x:c r="X22" s="39" t="str"/>
    </x:row>
    <x:row r="23" ht="40" customHeight="1">
      <x:c r="A23" s="39" t="str">
        <x:v>INV022</x:v>
      </x:c>
      <x:c r="B23" s="39" t="str">
        <x:v>Armilar Venture Partners</x:v>
      </x:c>
      <x:c r="C23" s="39" t="str">
        <x:v>VC</x:v>
      </x:c>
      <x:c r="D23" s="39" t="str">
        <x:v>https://www.armilar.com/</x:v>
      </x:c>
      <x:c r="E23" s="39" t="str">
        <x:v>Portugal</x:v>
      </x:c>
      <x:c r="F23" s="39" t="str">
        <x:v>Lisboa</x:v>
      </x:c>
      <x:c r="G23" s="39" t="str">
        <x:v>Pre-seed; Seed; Series A; Series B; follow-on</x:v>
      </x:c>
      <x:c r="H23" s="43" t="n">
        <x:v>0.2</x:v>
      </x:c>
      <x:c r="I23" s="43" t="n">
        <x:v>10</x:v>
      </x:c>
      <x:c r="J23" s="39" t="str">
        <x:v>EUR</x:v>
      </x:c>
      <x:c r="K23" s="39" t="str">
        <x:v>€200k–€2m seed/pre-seed; ~€2m–€10m Series A/B.</x:v>
      </x:c>
      <x:c r="L23" s="39" t="str">
        <x:v>Tech at the core; B2B; AI; cybersecurity; devtools; infrastructure; automation; fintech; health; space; dual-use</x:v>
      </x:c>
      <x:c r="M23" s="39" t="str">
        <x:v>B2B; deeptech</x:v>
      </x:c>
      <x:c r="N23" s="39" t="str">
        <x:v>Seed sobretudo Iberia; Series A+ Europa e casos nos EUA</x:v>
      </x:c>
      <x:c r="O23" s="39" t="str">
        <x:v>Sim / co-lidera</x:v>
      </x:c>
      <x:c r="P23" s="39" t="str">
        <x:v>Investe em tecnologia diferenciada que resolve problemas globais e acompanha empresas até ao exit.</x:v>
      </x:c>
      <x:c r="Q23" s="39" t="str">
        <x:v>Tecnologia única; problema valioso; mercado global; equipa resiliente</x:v>
      </x:c>
      <x:c r="R23" s="39" t="str">
        <x:v>Via website</x:v>
      </x:c>
      <x:c r="S23" s="39" t="str">
        <x:v>Formulário de pitch</x:v>
      </x:c>
      <x:c r="T23" s="39" t="str">
        <x:v>https://www.armilar.com/why-armilar</x:v>
      </x:c>
      <x:c r="U23" s="39" t="str">
        <x:v>https://www.armilar.com/team</x:v>
      </x:c>
      <x:c r="V23" s="44" t="str">
        <x:v>2026-09-09</x:v>
      </x:c>
      <x:c r="W23" s="39" t="str">
        <x:v>Alta</x:v>
      </x:c>
      <x:c r="X23" s="39" t="str"/>
    </x:row>
    <x:row r="24" ht="40" customHeight="1">
      <x:c r="A24" s="39" t="str">
        <x:v>INV023</x:v>
      </x:c>
      <x:c r="B24" s="39" t="str">
        <x:v>Hoxton Ventures</x:v>
      </x:c>
      <x:c r="C24" s="39" t="str">
        <x:v>VC</x:v>
      </x:c>
      <x:c r="D24" s="39" t="str">
        <x:v>https://hoxtonventures.com/</x:v>
      </x:c>
      <x:c r="E24" s="39" t="str">
        <x:v>Reino Unido</x:v>
      </x:c>
      <x:c r="F24" s="39" t="str">
        <x:v>Londres</x:v>
      </x:c>
      <x:c r="G24" s="39" t="str">
        <x:v>Pre-seed; Seed</x:v>
      </x:c>
      <x:c r="H24" s="43"/>
      <x:c r="I24" s="43"/>
      <x:c r="J24" s="39" t="str"/>
      <x:c r="K24" s="39" t="str">
        <x:v>Faixa geral não publicada na fonte usada.</x:v>
      </x:c>
      <x:c r="L24" s="39" t="str">
        <x:v>Software; AI; deeptech; marketplaces; consumer</x:v>
      </x:c>
      <x:c r="M24" s="39" t="str">
        <x:v>B2B; B2C</x:v>
      </x:c>
      <x:c r="N24" s="39" t="str">
        <x:v>Europa, com forte foco UK</x:v>
      </x:c>
      <x:c r="O24" s="39" t="str">
        <x:v>Sim / co-lidera</x:v>
      </x:c>
      <x:c r="P24" s="39" t="str">
        <x:v>Equipa partner-only, composta sobretudo por antigos builders, para apoiar startups tecnológicas europeias desde cedo.</x:v>
      </x:c>
      <x:c r="Q24" s="39" t="str">
        <x:v>Fundadores ambiciosos; tecnologia com potencial global</x:v>
      </x:c>
      <x:c r="R24" s="39" t="str">
        <x:v>Via formulário</x:v>
      </x:c>
      <x:c r="S24" s="39" t="str">
        <x:v>Website</x:v>
      </x:c>
      <x:c r="T24" s="39" t="str">
        <x:v>https://hoxtonventures.com/</x:v>
      </x:c>
      <x:c r="U24" s="39" t="str">
        <x:v>https://hoxtonventures.com/team/</x:v>
      </x:c>
      <x:c r="V24" s="44" t="str">
        <x:v>2026-09-09</x:v>
      </x:c>
      <x:c r="W24" s="39" t="str">
        <x:v>Média</x:v>
      </x:c>
      <x:c r="X24" s="39" t="str"/>
    </x:row>
    <x:row r="25" ht="40" customHeight="1">
      <x:c r="A25" s="39" t="str">
        <x:v>INV024</x:v>
      </x:c>
      <x:c r="B25" s="39" t="str">
        <x:v>Kindred Capital</x:v>
      </x:c>
      <x:c r="C25" s="39" t="str">
        <x:v>VC</x:v>
      </x:c>
      <x:c r="D25" s="39" t="str">
        <x:v>https://kindredcapital.vc/</x:v>
      </x:c>
      <x:c r="E25" s="39" t="str">
        <x:v>Reino Unido</x:v>
      </x:c>
      <x:c r="F25" s="39" t="str">
        <x:v>Londres</x:v>
      </x:c>
      <x:c r="G25" s="39" t="str">
        <x:v>Pre-seed; Seed</x:v>
      </x:c>
      <x:c r="H25" s="43"/>
      <x:c r="I25" s="43"/>
      <x:c r="J25" s="39" t="str"/>
      <x:c r="K25" s="39" t="str">
        <x:v>Faixa geral não publicada na fonte usada.</x:v>
      </x:c>
      <x:c r="L25" s="39" t="str">
        <x:v>Health &amp; Bio; Robotics; Applied AI; Financial Infrastructure; software</x:v>
      </x:c>
      <x:c r="M25" s="39" t="str">
        <x:v>B2B; B2C</x:v>
      </x:c>
      <x:c r="N25" s="39" t="str">
        <x:v>UK-first; exceções na Europa, Israel, EUA e Ásia</x:v>
      </x:c>
      <x:c r="O25" s="39" t="str">
        <x:v>Sim; equipa partner-only</x:v>
      </x:c>
      <x:c r="P25" s="39" t="str">
        <x:v>Faz investimentos de alta convicção e partilha parte dos resultados do fundo com founders do portfólio.</x:v>
      </x:c>
      <x:c r="Q25" s="39" t="str">
        <x:v>Fundadores mission-driven; visão; alinhamento humano</x:v>
      </x:c>
      <x:c r="R25" s="39" t="str">
        <x:v>hello@kindredcapital.vc</x:v>
      </x:c>
      <x:c r="S25" s="39" t="str">
        <x:v>Introdução / email</x:v>
      </x:c>
      <x:c r="T25" s="39" t="str">
        <x:v>https://kindredcapital.vc/</x:v>
      </x:c>
      <x:c r="U25" s="39" t="str">
        <x:v>https://kindredcapital.vc/</x:v>
      </x:c>
      <x:c r="V25" s="44" t="str">
        <x:v>2026-09-09</x:v>
      </x:c>
      <x:c r="W25" s="39" t="str">
        <x:v>Alta</x:v>
      </x:c>
      <x:c r="X25" s="39" t="str"/>
    </x:row>
    <x:row r="26" ht="40" customHeight="1">
      <x:c r="A26" s="39" t="str">
        <x:v>INV025</x:v>
      </x:c>
      <x:c r="B26" s="39" t="str">
        <x:v>Connect Ventures</x:v>
      </x:c>
      <x:c r="C26" s="39" t="str">
        <x:v>VC</x:v>
      </x:c>
      <x:c r="D26" s="39" t="str">
        <x:v>https://www.connectventures.co/</x:v>
      </x:c>
      <x:c r="E26" s="39" t="str">
        <x:v>Reino Unido</x:v>
      </x:c>
      <x:c r="F26" s="39" t="str">
        <x:v>Londres</x:v>
      </x:c>
      <x:c r="G26" s="39" t="str">
        <x:v>Pre-seed; Seed</x:v>
      </x:c>
      <x:c r="H26" s="43" t="n">
        <x:v>0.5</x:v>
      </x:c>
      <x:c r="I26" s="43" t="n">
        <x:v>5</x:v>
      </x:c>
      <x:c r="J26" s="39" t="str">
        <x:v>USD</x:v>
      </x:c>
      <x:c r="K26" s="39" t="str">
        <x:v>Lidera ou co-lidera rondas de $500k–$5m.</x:v>
      </x:c>
      <x:c r="L26" s="39" t="str">
        <x:v>AI; cybersecurity; deeptech; data &amp; infrastructure; fintech; health; vertical networks</x:v>
      </x:c>
      <x:c r="M26" s="39" t="str">
        <x:v>Product-led; B2B; B2C</x:v>
      </x:c>
      <x:c r="N26" s="39" t="str">
        <x:v>Europa</x:v>
      </x:c>
      <x:c r="O26" s="39" t="str">
        <x:v>Sim / co-lidera</x:v>
      </x:c>
      <x:c r="P26" s="39" t="str">
        <x:v>Especialista em produto, partner-only e de alta convicção; investe desde pre-product até product-market fit.</x:v>
      </x:c>
      <x:c r="Q26" s="39" t="str">
        <x:v>Founder-product fit; produto que utilizadores adoram; mercado grande</x:v>
      </x:c>
      <x:c r="R26" s="39" t="str">
        <x:v>Via website</x:v>
      </x:c>
      <x:c r="S26" s="39" t="str">
        <x:v>Website</x:v>
      </x:c>
      <x:c r="T26" s="39" t="str">
        <x:v>https://www.connectventures.co/</x:v>
      </x:c>
      <x:c r="U26" s="39" t="str">
        <x:v>https://www.connectventures.co/</x:v>
      </x:c>
      <x:c r="V26" s="44" t="str">
        <x:v>2026-09-09</x:v>
      </x:c>
      <x:c r="W26" s="39" t="str">
        <x:v>Alta</x:v>
      </x:c>
      <x:c r="X26" s="39" t="str"/>
    </x:row>
    <x:row r="27" ht="40" customHeight="1">
      <x:c r="A27" s="39" t="str">
        <x:v>INV026</x:v>
      </x:c>
      <x:c r="B27" s="39" t="str">
        <x:v>Heartcore Capital</x:v>
      </x:c>
      <x:c r="C27" s="39" t="str">
        <x:v>VC</x:v>
      </x:c>
      <x:c r="D27" s="39" t="str">
        <x:v>https://www.heartcore.com/</x:v>
      </x:c>
      <x:c r="E27" s="39" t="str">
        <x:v>Dinamarca</x:v>
      </x:c>
      <x:c r="F27" s="39" t="str">
        <x:v>Copenhaga; Londres; Paris; remoto</x:v>
      </x:c>
      <x:c r="G27" s="39" t="str">
        <x:v>Inception; Pre-seed; Seed; Series A</x:v>
      </x:c>
      <x:c r="H27" s="43"/>
      <x:c r="I27" s="43"/>
      <x:c r="J27" s="39" t="str"/>
      <x:c r="K27" s="39" t="str">
        <x:v>Faixa geral não publicada na fonte usada.</x:v>
      </x:c>
      <x:c r="L27" s="39" t="str">
        <x:v>AI; consumer; fintech; health; energy; defence; robotics; software</x:v>
      </x:c>
      <x:c r="M27" s="39" t="str">
        <x:v>B2B; B2C; web3</x:v>
      </x:c>
      <x:c r="N27" s="39" t="str">
        <x:v>Europa</x:v>
      </x:c>
      <x:c r="O27" s="39" t="str">
        <x:v>Sim / co-lidera</x:v>
      </x:c>
      <x:c r="P27" s="39" t="str">
        <x:v>Pure early-stage investor que procura founders europeus fora da curva e acompanha da criação à liquidez.</x:v>
      </x:c>
      <x:c r="Q27" s="39" t="str">
        <x:v>Genius and courage; ambição; relação de longo prazo</x:v>
      </x:c>
      <x:c r="R27" s="39" t="str">
        <x:v>team@heartcore.com</x:v>
      </x:c>
      <x:c r="S27" s="39" t="str">
        <x:v>Introdução / email</x:v>
      </x:c>
      <x:c r="T27" s="39" t="str">
        <x:v>https://www.heartcore.com/about</x:v>
      </x:c>
      <x:c r="U27" s="39" t="str">
        <x:v>https://www.heartcore.com/team</x:v>
      </x:c>
      <x:c r="V27" s="44" t="str">
        <x:v>2026-09-09</x:v>
      </x:c>
      <x:c r="W27" s="39" t="str">
        <x:v>Alta</x:v>
      </x:c>
      <x:c r="X27" s="39" t="str"/>
    </x:row>
    <x:row r="28" ht="40" customHeight="1">
      <x:c r="A28" s="39" t="str">
        <x:v>INV027</x:v>
      </x:c>
      <x:c r="B28" s="39" t="str">
        <x:v>Partech</x:v>
      </x:c>
      <x:c r="C28" s="39" t="str">
        <x:v>VC</x:v>
      </x:c>
      <x:c r="D28" s="39" t="str">
        <x:v>https://partechpartners.com/</x:v>
      </x:c>
      <x:c r="E28" s="39" t="str">
        <x:v>França</x:v>
      </x:c>
      <x:c r="F28" s="39" t="str">
        <x:v>Paris; Berlim; São Francisco; Dakar; Dubai; Nairobi</x:v>
      </x:c>
      <x:c r="G28" s="39" t="str">
        <x:v>Day 1; Seed; Series A; Series B; Growth</x:v>
      </x:c>
      <x:c r="H28" s="43" t="n">
        <x:v>0.3</x:v>
      </x:c>
      <x:c r="I28" s="43" t="n">
        <x:v>70</x:v>
      </x:c>
      <x:c r="J28" s="39" t="str">
        <x:v>EUR</x:v>
      </x:c>
      <x:c r="K28" s="39" t="str">
        <x:v>Seed €300k–€3m; Growth €25m–€70m; estratégias distintas.</x:v>
      </x:c>
      <x:c r="L28" s="39" t="str">
        <x:v>Generalista tech; enterprise software; AI; deeptech; fintech; health; consumer; impact</x:v>
      </x:c>
      <x:c r="M28" s="39" t="str">
        <x:v>B2B; B2C</x:v>
      </x:c>
      <x:c r="N28" s="39" t="str">
        <x:v>Seed global; Venture e Growth com forte foco europeu</x:v>
      </x:c>
      <x:c r="O28" s="39" t="str">
        <x:v>Sim / co-lidera</x:v>
      </x:c>
      <x:c r="P28" s="39" t="str">
        <x:v>Plataforma multi-stage com equipas autónomas por fase; seed desde day one e venture para software mission-critical europeu.</x:v>
      </x:c>
      <x:c r="Q28" s="39" t="str">
        <x:v>Fundadores; inovação; adequação à estratégia/fase</x:v>
      </x:c>
      <x:c r="R28" s="39" t="str">
        <x:v>Via website</x:v>
      </x:c>
      <x:c r="S28" s="39" t="str">
        <x:v>Website</x:v>
      </x:c>
      <x:c r="T28" s="39" t="str">
        <x:v>https://partechpartners.com/funds</x:v>
      </x:c>
      <x:c r="U28" s="39" t="str">
        <x:v>https://partechpartners.com/team</x:v>
      </x:c>
      <x:c r="V28" s="44" t="str">
        <x:v>2026-09-09</x:v>
      </x:c>
      <x:c r="W28" s="39" t="str">
        <x:v>Alta</x:v>
      </x:c>
      <x:c r="X28" s="39" t="str">
        <x:v>Não misturar critérios de Seed, Venture, Growth, Africa e Impact.</x:v>
      </x:c>
    </x:row>
    <x:row r="29" ht="96" customHeight="1">
      <x:c r="A29" s="39" t="str">
        <x:v>INV028</x:v>
      </x:c>
      <x:c r="B29" s="39" t="str">
        <x:v>Korys</x:v>
      </x:c>
      <x:c r="C29" s="39" t="str">
        <x:v>Family office</x:v>
      </x:c>
      <x:c r="D29" s="39" t="str">
        <x:v>https://korys.be/</x:v>
      </x:c>
      <x:c r="E29" s="39" t="str">
        <x:v>Bélgica</x:v>
      </x:c>
      <x:c r="F29" s="39" t="str">
        <x:v>Halle</x:v>
      </x:c>
      <x:c r="G29" s="39" t="str">
        <x:v>Series A; Series B; Series C; Growth; Buyout</x:v>
      </x:c>
      <x:c r="H29" s="43" t="n">
        <x:v>3</x:v>
      </x:c>
      <x:c r="I29" s="43" t="n">
        <x:v>30</x:v>
      </x:c>
      <x:c r="J29" s="39" t="str">
        <x:v>EUR</x:v>
      </x:c>
      <x:c r="K29" s="39" t="str">
        <x:v>VLAIO (07-02-2025): life sciences €3–10m; energia €7–12m inicial; consumer €10–30m, VC sem liderança €5–30m. Confirmar por estratégia.</x:v>
      </x:c>
      <x:c r="L29" s="39" t="str">
        <x:v>Life sciences; energia; mobilidade; consumo sustentável</x:v>
      </x:c>
      <x:c r="M29" s="39" t="str">
        <x:v>B2B; B2C; biotech; energia</x:v>
      </x:c>
      <x:c r="N29" s="39" t="str">
        <x:v>Europa; preferência por Benelux e países vizinhos</x:v>
      </x:c>
      <x:c r="O29" s="39" t="str">
        <x:v>Lidera ou participa em consórcios</x:v>
      </x:c>
      <x:c r="P29" s="39" t="str">
        <x:v>Capital da família Colruyt, com horizonte longo e três áreas: consumo responsável, transição energética e saúde.</x:v>
      </x:c>
      <x:c r="Q29" s="39" t="str">
        <x:v>Energia: produto validado; consumer: tração e rentabilidade; saúde: prova de conceito.</x:v>
      </x:c>
      <x:c r="R29" s="39" t="str">
        <x:v>info@korys.be</x:v>
      </x:c>
      <x:c r="S29" s="39" t="str">
        <x:v>Contacto público / equipa temática</x:v>
      </x:c>
      <x:c r="T29" s="39" t="str">
        <x:v>https://www.vlaio.be/en/node/7362</x:v>
      </x:c>
      <x:c r="U29" s="39" t="str">
        <x:v>https://korys.be/our-team/</x:v>
      </x:c>
      <x:c r="V29" s="44" t="str">
        <x:v>2026-09-09</x:v>
      </x:c>
      <x:c r="W29" s="39" t="str">
        <x:v>Alta</x:v>
      </x:c>
      <x:c r="X29" s="39" t="str">
        <x:v>Family office confirmado. Tickets têm fonte datada; critérios variam por área. Lote 2.</x:v>
      </x:c>
    </x:row>
    <x:row r="30" ht="96" customHeight="1">
      <x:c r="A30" s="39" t="str">
        <x:v>INV029</x:v>
      </x:c>
      <x:c r="B30" s="39" t="str">
        <x:v>H14</x:v>
      </x:c>
      <x:c r="C30" s="39" t="str">
        <x:v>Family office</x:v>
      </x:c>
      <x:c r="D30" s="39" t="str">
        <x:v>https://www.h14.it/</x:v>
      </x:c>
      <x:c r="E30" s="39" t="str">
        <x:v>Itália</x:v>
      </x:c>
      <x:c r="F30" s="39" t="str">
        <x:v>Milão</x:v>
      </x:c>
      <x:c r="G30" s="39" t="str">
        <x:v>Venture; Growth</x:v>
      </x:c>
      <x:c r="H30" s="43"/>
      <x:c r="I30" s="43"/>
      <x:c r="J30" s="39" t="str"/>
      <x:c r="K30" s="39" t="str">
        <x:v>Cheque inicial não divulgado nas fontes consultadas.</x:v>
      </x:c>
      <x:c r="L30" s="39" t="str">
        <x:v>Tecnologia digital; software; marketplaces</x:v>
      </x:c>
      <x:c r="M30" s="39" t="str">
        <x:v>B2B; B2C; plataformas</x:v>
      </x:c>
      <x:c r="N30" s="39" t="str">
        <x:v>Europa e América do Norte; global</x:v>
      </x:c>
      <x:c r="O30" s="39" t="str">
        <x:v>Pode liderar; exemplo WeRoad</x:v>
      </x:c>
      <x:c r="P30" s="39" t="str">
        <x:v>Family office italiano com investimento direto em empresas digitais e apoio à expansão europeia.</x:v>
      </x:c>
      <x:c r="Q30" s="39" t="str">
        <x:v>Adequação a venture/growth e à rede de expansão; critérios quantitativos não publicados.</x:v>
      </x:c>
      <x:c r="R30" s="39" t="str">
        <x:v>amministrazione@h14.it</x:v>
      </x:c>
      <x:c r="S30" s="39" t="str">
        <x:v>Email administrativo geral; LinkedIn profissional</x:v>
      </x:c>
      <x:c r="T30" s="39" t="str">
        <x:v>https://www.h14.it/</x:v>
      </x:c>
      <x:c r="U30" s="39" t="str">
        <x:v>https://it.linkedin.com/in/riccardo-porcelli-658b6874</x:v>
      </x:c>
      <x:c r="V30" s="44" t="str">
        <x:v>2026-09-09</x:v>
      </x:c>
      <x:c r="W30" s="39" t="str">
        <x:v>Média</x:v>
      </x:c>
      <x:c r="X30" s="39" t="str">
        <x:v>Email administrativo, não caixa de pitch confirmada. Equipa pública incompleta; cargos exatos em revisão. Lote 2.</x:v>
      </x:c>
    </x:row>
    <x:row r="31" ht="96" customHeight="1">
      <x:c r="A31" s="39" t="str">
        <x:v>INV030</x:v>
      </x:c>
      <x:c r="B31" s="39" t="str">
        <x:v>Fink Family Office</x:v>
      </x:c>
      <x:c r="C31" s="39" t="str">
        <x:v>Family office</x:v>
      </x:c>
      <x:c r="D31" s="39" t="str">
        <x:v>https://uk.linkedin.com/company/fink-family-office</x:v>
      </x:c>
      <x:c r="E31" s="39" t="str">
        <x:v>Reino Unido</x:v>
      </x:c>
      <x:c r="F31" s="39" t="str">
        <x:v>Londres</x:v>
      </x:c>
      <x:c r="G31" s="39" t="str">
        <x:v>Seed; Series A; Series B</x:v>
      </x:c>
      <x:c r="H31" s="43"/>
      <x:c r="I31" s="43"/>
      <x:c r="J31" s="39" t="str"/>
      <x:c r="K31" s="39" t="str">
        <x:v>Não existe faixa institucional atual confirmada nesta recolha.</x:v>
      </x:c>
      <x:c r="L31" s="39" t="str">
        <x:v>Fintech; proptech; edtech; deeptech; life sciences</x:v>
      </x:c>
      <x:c r="M31" s="39" t="str">
        <x:v>B2B; B2C; tecnologia</x:v>
      </x:c>
      <x:c r="N31" s="39" t="str">
        <x:v>Reino Unido; atividade europeia observada, mandato geográfico completo não publicado</x:v>
      </x:c>
      <x:c r="O31" s="39" t="str">
        <x:v>Não confirmado</x:v>
      </x:c>
      <x:c r="P31" s="39" t="str">
        <x:v>Capital familiar em empresas tecnológicas; o perfil institucional destaca fintech, proptech e edtech.</x:v>
      </x:c>
      <x:c r="Q31" s="39" t="str">
        <x:v>Empresas em crescimento; novos negócios de ciência e IA surgem nas publicações da equipa.</x:v>
      </x:c>
      <x:c r="R31" s="39" t="str">
        <x:v>LinkedIn institucional e perfis públicos</x:v>
      </x:c>
      <x:c r="S31" s="39" t="str">
        <x:v>Contacto profissional via LinkedIn</x:v>
      </x:c>
      <x:c r="T31" s="39" t="str">
        <x:v>https://uk.linkedin.com/company/fink-family-office</x:v>
      </x:c>
      <x:c r="U31" s="39" t="str">
        <x:v>https://uk.linkedin.com/company/fink-family-office</x:v>
      </x:c>
      <x:c r="V31" s="44" t="str">
        <x:v>2026-09-09</x:v>
      </x:c>
      <x:c r="W31" s="39" t="str">
        <x:v>Média</x:v>
      </x:c>
      <x:c r="X31" s="39" t="str">
        <x:v>Usa-se LinkedIn institucional: website não acessível nesta recolha. Allermuir/IA para investidores pode sobrepor-se ao caso SaaS do utilizador. Lote 2.</x:v>
      </x:c>
    </x:row>
    <x:row r="32" ht="96" customHeight="1">
      <x:c r="A32" s="39" t="str">
        <x:v>INV031</x:v>
      </x:c>
      <x:c r="B32" s="39" t="str">
        <x:v>DIG Ventures</x:v>
      </x:c>
      <x:c r="C32" s="39" t="str">
        <x:v>VC</x:v>
      </x:c>
      <x:c r="D32" s="39" t="str">
        <x:v>https://www.dig.ventures/</x:v>
      </x:c>
      <x:c r="E32" s="39" t="str">
        <x:v>Reino Unido</x:v>
      </x:c>
      <x:c r="F32" s="39" t="str">
        <x:v>Londres</x:v>
      </x:c>
      <x:c r="G32" s="39" t="str">
        <x:v>Pre-seed; Seed</x:v>
      </x:c>
      <x:c r="H32" s="43"/>
      <x:c r="I32" s="43"/>
      <x:c r="J32" s="39" t="str"/>
      <x:c r="K32" s="39" t="str">
        <x:v>Faixa de cheques não confirmada nas fontes oficiais consultadas.</x:v>
      </x:c>
      <x:c r="L32" s="39" t="str">
        <x:v>B2B SaaS; IA; infraestrutura cloud; open source</x:v>
      </x:c>
      <x:c r="M32" s="39" t="str">
        <x:v>B2B; SaaS</x:v>
      </x:c>
      <x:c r="N32" s="39" t="str">
        <x:v>Europa; também Israel e EUA</x:v>
      </x:c>
      <x:c r="O32" s="39" t="str">
        <x:v>Lidera em casos publicados</x:v>
      </x:c>
      <x:c r="P32" s="39" t="str">
        <x:v>Equipa de founders e operadores que apoia produto, vendas iniciais e expansão Europa–EUA.</x:v>
      </x:c>
      <x:c r="Q32" s="39" t="str">
        <x:v>Pode entrar com deck e visão; avaliações técnicas e comerciais antes do comité.</x:v>
      </x:c>
      <x:c r="R32" s="39" t="str">
        <x:v>hello@dig.ventures</x:v>
      </x:c>
      <x:c r="S32" s="39" t="str">
        <x:v>Email público para founders</x:v>
      </x:c>
      <x:c r="T32" s="39" t="str">
        <x:v>https://www.dig.ventures/</x:v>
      </x:c>
      <x:c r="U32" s="39" t="str">
        <x:v>https://www.dig.ventures/team</x:v>
      </x:c>
      <x:c r="V32" s="44" t="str">
        <x:v>2026-09-09</x:v>
      </x:c>
      <x:c r="W32" s="39" t="str">
        <x:v>Alta</x:v>
      </x:c>
      <x:c r="X32" s="39" t="str">
        <x:v>Origem em family office; hoje VC com fundo institucional, conforme anúncio do fundador. Desia pode ter sobreposição com software de pesquisa de investidores. Lote 2.</x:v>
      </x:c>
    </x:row>
    <x:row r="33" ht="96" customHeight="1">
      <x:c r="A33" s="39" t="str">
        <x:v>INV032</x:v>
      </x:c>
      <x:c r="B33" s="39" t="str">
        <x:v>Smedvig Ventures</x:v>
      </x:c>
      <x:c r="C33" s="39" t="str">
        <x:v>VC</x:v>
      </x:c>
      <x:c r="D33" s="39" t="str">
        <x:v>https://smedvig.vc/</x:v>
      </x:c>
      <x:c r="E33" s="39" t="str">
        <x:v>Reino Unido</x:v>
      </x:c>
      <x:c r="F33" s="39" t="str">
        <x:v>Londres</x:v>
      </x:c>
      <x:c r="G33" s="39" t="str">
        <x:v>Late Seed; Series A; crescimento subsequente</x:v>
      </x:c>
      <x:c r="H33" s="43" t="n">
        <x:v>4</x:v>
      </x:c>
      <x:c r="I33" s="43" t="n">
        <x:v>8</x:v>
      </x:c>
      <x:c r="J33" s="39" t="str">
        <x:v>EUR</x:v>
      </x:c>
      <x:c r="K33" s="39" t="str">
        <x:v>€4–8m por cheque em rondas até €20m; ARR desde €750k.</x:v>
      </x:c>
      <x:c r="L33" s="39" t="str">
        <x:v>B2B software; SaaS; IA aplicada; plataformas de dados</x:v>
      </x:c>
      <x:c r="M33" s="39" t="str">
        <x:v>B2B; receita recorrente</x:v>
      </x:c>
      <x:c r="N33" s="39" t="str">
        <x:v>Europa; UK, Nordics e Benelux destacados pelo grupo</x:v>
      </x:c>
      <x:c r="O33" s="39" t="str">
        <x:v>Frequentemente; confirmar por ronda</x:v>
      </x:c>
      <x:c r="P33" s="39" t="str">
        <x:v>Apoio operacional à passagem da tração inicial para crescimento repetível.</x:v>
      </x:c>
      <x:c r="Q33" s="39" t="str">
        <x:v>ARR desde €750k; equipas abertas a aprender e trabalhar na execução.</x:v>
      </x:c>
      <x:c r="R33" s="39" t="str">
        <x:v>Formulário oficial de contacto</x:v>
      </x:c>
      <x:c r="S33" s="39" t="str">
        <x:v>https://smedvig.vc/contact/</x:v>
      </x:c>
      <x:c r="T33" s="39" t="str">
        <x:v>https://smedvig.vc/</x:v>
      </x:c>
      <x:c r="U33" s="39" t="str">
        <x:v>https://smedvig.vc/people/</x:v>
      </x:c>
      <x:c r="V33" s="44" t="str">
        <x:v>2026-09-09</x:v>
      </x:c>
      <x:c r="W33" s="39" t="str">
        <x:v>Alta</x:v>
      </x:c>
      <x:c r="X33" s="39" t="str">
        <x:v>Braço de venture ligado à Smedvig Family Office; a holding familiar não é contada como outra entidade neste lote. Lote 2.</x:v>
      </x:c>
    </x:row>
    <x:row r="34" ht="96" customHeight="1">
      <x:c r="A34" s="39" t="str">
        <x:v>INV033</x:v>
      </x:c>
      <x:c r="B34" s="39" t="str">
        <x:v>Episode 1</x:v>
      </x:c>
      <x:c r="C34" s="39" t="str">
        <x:v>VC</x:v>
      </x:c>
      <x:c r="D34" s="39" t="str">
        <x:v>https://www.episode1.com/</x:v>
      </x:c>
      <x:c r="E34" s="39" t="str">
        <x:v>Reino Unido</x:v>
      </x:c>
      <x:c r="F34" s="39" t="str">
        <x:v>Londres</x:v>
      </x:c>
      <x:c r="G34" s="39" t="str">
        <x:v>Pre-seed; Seed; follow-on até Series A</x:v>
      </x:c>
      <x:c r="H34" s="43" t="n">
        <x:v>0.25</x:v>
      </x:c>
      <x:c r="I34" s="43" t="n">
        <x:v>2</x:v>
      </x:c>
      <x:c r="J34" s="39" t="str">
        <x:v>GBP</x:v>
      </x:c>
      <x:c r="K34" s="39" t="str">
        <x:v>FAQ atual: £250k–£2m; follower até £1m. Fonte prevalece sobre entrevista de 2024 (£3m).</x:v>
      </x:c>
      <x:c r="L34" s="39" t="str">
        <x:v>IA; infraestrutura; devtools; biologia computacional; robótica; quantum</x:v>
      </x:c>
      <x:c r="M34" s="39" t="str">
        <x:v>B2B; software</x:v>
      </x:c>
      <x:c r="N34" s="39" t="str">
        <x:v>Reino Unido e Europa</x:v>
      </x:c>
      <x:c r="O34" s="39" t="str">
        <x:v>Prefere liderar; também follower</x:v>
      </x:c>
      <x:c r="P34" s="39" t="str">
        <x:v>Software defensável para problemas técnicos; sourcing apoiado pela plataforma interna Athena.</x:v>
      </x:c>
      <x:c r="Q34" s="39" t="str">
        <x:v>Grandes mercados; tecnologia defensável; seleção de founders; B2C e hardware são exceções.</x:v>
      </x:c>
      <x:c r="R34" s="39" t="str">
        <x:v>Submit your Deck</x:v>
      </x:c>
      <x:c r="S34" s="39" t="str">
        <x:v>https://www.episode1.com/faq</x:v>
      </x:c>
      <x:c r="T34" s="39" t="str">
        <x:v>https://www.episode1.com/faq</x:v>
      </x:c>
      <x:c r="U34" s="39" t="str">
        <x:v>https://www.episode1.com/team</x:v>
      </x:c>
      <x:c r="V34" s="44" t="str">
        <x:v>2026-09-09</x:v>
      </x:c>
      <x:c r="W34" s="39" t="str">
        <x:v>Alta</x:v>
      </x:c>
      <x:c r="X34" s="39" t="str">
        <x:v>Athena é uma ferramenta interna de descoberta de startups: possível conhecimento do problema e sobreposição com o SaaS do caso de teste. Lote 2.</x:v>
      </x:c>
    </x:row>
    <x:row r="35" ht="96" customHeight="1">
      <x:c r="A35" s="39" t="str">
        <x:v>INV034</x:v>
      </x:c>
      <x:c r="B35" s="39" t="str">
        <x:v>Concept Ventures</x:v>
      </x:c>
      <x:c r="C35" s="39" t="str">
        <x:v>VC</x:v>
      </x:c>
      <x:c r="D35" s="39" t="str">
        <x:v>https://concept.vc/</x:v>
      </x:c>
      <x:c r="E35" s="39" t="str">
        <x:v>Reino Unido</x:v>
      </x:c>
      <x:c r="F35" s="39" t="str">
        <x:v>Londres</x:v>
      </x:c>
      <x:c r="G35" s="39" t="str">
        <x:v>Pre-seed; follow-on</x:v>
      </x:c>
      <x:c r="H35" s="43"/>
      <x:c r="I35" s="43" t="n">
        <x:v>1.5</x:v>
      </x:c>
      <x:c r="J35" s="39" t="str">
        <x:v>USD</x:v>
      </x:c>
      <x:c r="K35" s="39" t="str">
        <x:v>Até $1,5m, conforme página About; não confundir com os $88m do fundo.</x:v>
      </x:c>
      <x:c r="L35" s="39" t="str">
        <x:v>Generalista; software; fintech; IA; enterprise</x:v>
      </x:c>
      <x:c r="M35" s="39" t="str">
        <x:v>B2B; B2C</x:v>
      </x:c>
      <x:c r="N35" s="39" t="str">
        <x:v>Base no Reino Unido; alcance completo não explicitado na página de critérios</x:v>
      </x:c>
      <x:c r="O35" s="39" t="str">
        <x:v>Tipicamente lidera ou co-lidera</x:v>
      </x:c>
      <x:c r="P35" s="39" t="str">
        <x:v>Especialização em pre-seed com avaliação dos founders e apoio continuado.</x:v>
      </x:c>
      <x:c r="Q35" s="39" t="str">
        <x:v>Avaliação de equipa; comité presencial; reserva para rondas futuras.</x:v>
      </x:c>
      <x:c r="R35" s="39" t="str">
        <x:v>Website e perfis profissionais</x:v>
      </x:c>
      <x:c r="S35" s="39" t="str">
        <x:v>https://concept.vc/about-us</x:v>
      </x:c>
      <x:c r="T35" s="39" t="str">
        <x:v>https://concept.vc/about-us</x:v>
      </x:c>
      <x:c r="U35" s="39" t="str">
        <x:v>https://concept.vc/team</x:v>
      </x:c>
      <x:c r="V35" s="44" t="str">
        <x:v>2026-09-09</x:v>
      </x:c>
      <x:c r="W35" s="39" t="str">
        <x:v>Alta</x:v>
      </x:c>
      <x:c r="X35" s="39" t="str">
        <x:v>Associates de operações e comunidade foram identificadas como apoio, sem inferir autoridade de investimento. Lote 2.</x:v>
      </x:c>
    </x:row>
    <x:row r="36" ht="96" customHeight="1">
      <x:c r="A36" s="39" t="str">
        <x:v>INV035</x:v>
      </x:c>
      <x:c r="B36" s="39" t="str">
        <x:v>Empirical Ventures</x:v>
      </x:c>
      <x:c r="C36" s="39" t="str">
        <x:v>VC</x:v>
      </x:c>
      <x:c r="D36" s="39" t="str">
        <x:v>https://www.empiricalventures.vc/</x:v>
      </x:c>
      <x:c r="E36" s="39" t="str">
        <x:v>Reino Unido</x:v>
      </x:c>
      <x:c r="F36" s="39" t="str">
        <x:v>Londres</x:v>
      </x:c>
      <x:c r="G36" s="39" t="str">
        <x:v>Pre-seed; Seed; venture studio</x:v>
      </x:c>
      <x:c r="H36" s="43"/>
      <x:c r="I36" s="43"/>
      <x:c r="J36" s="39" t="str"/>
      <x:c r="K36" s="39" t="str">
        <x:v>Cheque inicial não publicado; £50m refere-se ao fundo, não ao ticket.</x:v>
      </x:c>
      <x:c r="L36" s="39" t="str">
        <x:v>Deeptech; life sciences; materiais; TechBio; fotónica; quantum; robótica; energia</x:v>
      </x:c>
      <x:c r="M36" s="39" t="str">
        <x:v>IP científico; B2B; biotech</x:v>
      </x:c>
      <x:c r="N36" s="39" t="str">
        <x:v>Global, com base no Reino Unido e investimentos europeus</x:v>
      </x:c>
      <x:c r="O36" s="39" t="str">
        <x:v>Lidera pre-seed e seed</x:v>
      </x:c>
      <x:c r="P36" s="39" t="str">
        <x:v>Investe em descobertas científicas defensáveis e constrói empresas com investigadores.</x:v>
      </x:c>
      <x:c r="Q36" s="39" t="str">
        <x:v>Validação técnica por especialistas; problema real; IP e potencial comercial.</x:v>
      </x:c>
      <x:c r="R36" s="39" t="str">
        <x:v>hello@empiricalventures.vc</x:v>
      </x:c>
      <x:c r="S36" s="39" t="str">
        <x:v>Apply for funding no website</x:v>
      </x:c>
      <x:c r="T36" s="39" t="str">
        <x:v>https://www.empiricalventures.vc/</x:v>
      </x:c>
      <x:c r="U36" s="39" t="str">
        <x:v>https://www.empiricalventures.vc/team</x:v>
      </x:c>
      <x:c r="V36" s="44" t="str">
        <x:v>2026-09-09</x:v>
      </x:c>
      <x:c r="W36" s="39" t="str">
        <x:v>Alta</x:v>
      </x:c>
      <x:c r="X36" s="39" t="str">
        <x:v>Processo inclui ambos os GPs e comité de investimento. Alexander Fink consta uma única vez, na Fink Family Office, com outra ligação em notas. Lote 2.</x:v>
      </x:c>
    </x:row>
  </x:sheetData>
  <x:conditionalFormatting sqref="W2:W36">
    <x:cfRule type="containsText" dxfId="0" priority="1" operator="containsText" text="Alta"/>
    <x:cfRule type="containsText" dxfId="1" priority="2" operator="containsText" text="Média"/>
  </x:conditionalFormatting>
  <x:pageMargins left="0.7" right="0.7" top="0.75" bottom="0.75" header="0.3" footer="0.3"/>
  <x:tableParts count="1">
    <x:tablePart xmlns:r="http://schemas.openxmlformats.org/officeDocument/2006/relationships" r:id="Reefb4a9519d645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24" hidden="0" customWidth="1"/>
    <x:col min="5" max="5" width="28" hidden="0" customWidth="1"/>
    <x:col min="6" max="6" width="11" hidden="0" customWidth="1"/>
    <x:col min="7" max="7" width="20" hidden="0" customWidth="1"/>
    <x:col min="8" max="8" width="18" hidden="0" customWidth="1"/>
    <x:col min="9" max="9" width="36" hidden="0" customWidth="1"/>
    <x:col min="10" max="10" width="22" hidden="0" customWidth="1"/>
    <x:col min="11" max="11" width="44" hidden="0" customWidth="1"/>
    <x:col min="12" max="12" width="34" hidden="0" customWidth="1"/>
    <x:col min="13" max="13" width="28" hidden="0" customWidth="1"/>
    <x:col min="14" max="14" width="34" hidden="0" customWidth="1"/>
    <x:col min="15" max="15" width="42" hidden="0" customWidth="1"/>
    <x:col min="16" max="16" width="55" hidden="0" customWidth="1"/>
    <x:col min="17" max="17" width="55" hidden="0" customWidth="1"/>
    <x:col min="18" max="18" width="45" hidden="0" customWidth="1"/>
    <x:col min="19" max="19" width="16" hidden="0" customWidth="1"/>
    <x:col min="20" max="20" width="12" hidden="0" customWidth="1"/>
    <x:col min="21" max="21" width="16" hidden="0" customWidth="1"/>
    <x:col min="22" max="22" width="34" hidden="0" customWidth="1"/>
  </x:cols>
  <x:sheetData>
    <x:row r="1" ht="34" customHeight="1">
      <x:c r="A1" s="42" t="str">
        <x:v>ID_Pessoa</x:v>
      </x:c>
      <x:c r="B1" s="42" t="str">
        <x:v>ID_Investidor</x:v>
      </x:c>
      <x:c r="C1" s="42" t="str">
        <x:v>Investidor</x:v>
      </x:c>
      <x:c r="D1" s="42" t="str">
        <x:v>Nome</x:v>
      </x:c>
      <x:c r="E1" s="42" t="str">
        <x:v>Cargo_Atual</x:v>
      </x:c>
      <x:c r="F1" s="42" t="str">
        <x:v>Decisor</x:v>
      </x:c>
      <x:c r="G1" s="42" t="str">
        <x:v>Nível_Decisão</x:v>
      </x:c>
      <x:c r="H1" s="42" t="str">
        <x:v>Localização</x:v>
      </x:c>
      <x:c r="I1" s="42" t="str">
        <x:v>Foco_Setorial</x:v>
      </x:c>
      <x:c r="J1" s="42" t="str">
        <x:v>Foco_Fase</x:v>
      </x:c>
      <x:c r="K1" s="42" t="str">
        <x:v>Experiência_Anterior</x:v>
      </x:c>
      <x:c r="L1" s="42" t="str">
        <x:v>Empresas_Portfólio</x:v>
      </x:c>
      <x:c r="M1" s="42" t="str">
        <x:v>Email_Público</x:v>
      </x:c>
      <x:c r="N1" s="42" t="str">
        <x:v>LinkedIn</x:v>
      </x:c>
      <x:c r="O1" s="42" t="str">
        <x:v>Perfil_Oficial</x:v>
      </x:c>
      <x:c r="P1" s="42" t="str">
        <x:v>Hook_Principal</x:v>
      </x:c>
      <x:c r="Q1" s="42" t="str">
        <x:v>Fundamento_do_Hook</x:v>
      </x:c>
      <x:c r="R1" s="42" t="str">
        <x:v>Fonte_Principal</x:v>
      </x:c>
      <x:c r="S1" s="42" t="str">
        <x:v>Data_Verificação</x:v>
      </x:c>
      <x:c r="T1" s="42" t="str">
        <x:v>Confiança</x:v>
      </x:c>
      <x:c r="U1" s="42" t="str">
        <x:v>Estado_Perfil</x:v>
      </x:c>
      <x:c r="V1" s="42" t="str">
        <x:v>Notas</x:v>
      </x:c>
    </x:row>
    <x:row r="2" ht="40" customHeight="1">
      <x:c r="A2" s="39" t="str">
        <x:v>PER0001</x:v>
      </x:c>
      <x:c r="B2" s="39" t="str">
        <x:v>INV001</x:v>
      </x:c>
      <x:c r="C2" s="39" t="str">
        <x:v>Point Nine</x:v>
      </x:c>
      <x:c r="D2" s="39" t="str">
        <x:v>Christoph Janz</x:v>
      </x:c>
      <x:c r="E2" s="39" t="str">
        <x:v>Partner</x:v>
      </x:c>
      <x:c r="F2" s="39" t="str">
        <x:v>Sim</x:v>
      </x:c>
      <x:c r="G2" s="39" t="str">
        <x:v>Decisor</x:v>
      </x:c>
      <x:c r="H2" s="39" t="str">
        <x:v>Berlim</x:v>
      </x:c>
      <x:c r="I2" s="39" t="str">
        <x:v>B2B SaaS; métricas; AI</x:v>
      </x:c>
      <x:c r="J2" s="39" t="str">
        <x:v>Seed; Series A</x:v>
      </x:c>
      <x:c r="K2" s="39" t="str">
        <x:v>Fundador e operador de internet/SaaS</x:v>
      </x:c>
      <x:c r="L2" s="39" t="str">
        <x:v>Zendesk; Typeform; Contentful</x:v>
      </x:c>
      <x:c r="M2" s="39" t="str"/>
      <x:c r="N2" s="39" t="str">
        <x:v>https://www.linkedin.com/in/christophjanz</x:v>
      </x:c>
      <x:c r="O2" s="39" t="str">
        <x:v>https://www.pointnine.com/team</x:v>
      </x:c>
      <x:c r="P2" s="39" t="str">
        <x:v>Referir a análise de cohorts ou a questão sobre AI acelerar vertical SaaS.</x:v>
      </x:c>
      <x:c r="Q2" s="39" t="str">
        <x:v>Publicou guias detalhados sobre cohort analysis e vertical SaaS.</x:v>
      </x:c>
      <x:c r="R2" s="39" t="str">
        <x:v>https://www.pointnine.com/team</x:v>
      </x:c>
      <x:c r="S2" s="44" t="str">
        <x:v>2026-09-09</x:v>
      </x:c>
      <x:c r="T2" s="39" t="str">
        <x:v>Alta</x:v>
      </x:c>
      <x:c r="U2" s="39" t="str">
        <x:v>Enriquecido</x:v>
      </x:c>
      <x:c r="V2" s="39" t="str"/>
    </x:row>
    <x:row r="3" ht="40" customHeight="1">
      <x:c r="A3" s="39" t="str">
        <x:v>PER0002</x:v>
      </x:c>
      <x:c r="B3" s="39" t="str">
        <x:v>INV001</x:v>
      </x:c>
      <x:c r="C3" s="39" t="str">
        <x:v>Point Nine</x:v>
      </x:c>
      <x:c r="D3" s="39" t="str">
        <x:v>Pawel Chudzinski</x:v>
      </x:c>
      <x:c r="E3" s="39" t="str">
        <x:v>Partner</x:v>
      </x:c>
      <x:c r="F3" s="39" t="str">
        <x:v>Sim</x:v>
      </x:c>
      <x:c r="G3" s="39" t="str">
        <x:v>Decisor</x:v>
      </x:c>
      <x:c r="H3" s="39" t="str">
        <x:v>Berlim</x:v>
      </x:c>
      <x:c r="I3" s="39" t="str">
        <x:v>SaaS; marketplaces</x:v>
      </x:c>
      <x:c r="J3" s="39" t="str">
        <x:v>Seed; Series A</x:v>
      </x:c>
      <x:c r="K3" s="39" t="str">
        <x:v>Co-fundador da Point Nine</x:v>
      </x:c>
      <x:c r="L3" s="39" t="str">
        <x:v>Delivery Hero; Mambu</x:v>
      </x:c>
      <x:c r="M3" s="39" t="str"/>
      <x:c r="N3" s="39" t="str"/>
      <x:c r="O3" s="39" t="str">
        <x:v>https://www.pointnine.com/team</x:v>
      </x:c>
      <x:c r="P3" s="39" t="str">
        <x:v>Ligar a conversa à experiência de escalar empresas europeias globalmente.</x:v>
      </x:c>
      <x:c r="Q3" s="39" t="str">
        <x:v>Perfil de cofundador e portfólio internacional.</x:v>
      </x:c>
      <x:c r="R3" s="39" t="str">
        <x:v>https://www.pointnine.com/team</x:v>
      </x:c>
      <x:c r="S3" s="44" t="str">
        <x:v>2026-09-09</x:v>
      </x:c>
      <x:c r="T3" s="39" t="str">
        <x:v>Média</x:v>
      </x:c>
      <x:c r="U3" s="39" t="str">
        <x:v>Parcial</x:v>
      </x:c>
      <x:c r="V3" s="39" t="str"/>
    </x:row>
    <x:row r="4" ht="40" customHeight="1">
      <x:c r="A4" s="39" t="str">
        <x:v>PER0003</x:v>
      </x:c>
      <x:c r="B4" s="39" t="str">
        <x:v>INV001</x:v>
      </x:c>
      <x:c r="C4" s="39" t="str">
        <x:v>Point Nine</x:v>
      </x:c>
      <x:c r="D4" s="39" t="str">
        <x:v>Louis Coppey</x:v>
      </x:c>
      <x:c r="E4" s="39" t="str">
        <x:v>Partner</x:v>
      </x:c>
      <x:c r="F4" s="39" t="str">
        <x:v>Sim</x:v>
      </x:c>
      <x:c r="G4" s="39" t="str">
        <x:v>Decisor</x:v>
      </x:c>
      <x:c r="H4" s="39" t="str">
        <x:v>Paris</x:v>
      </x:c>
      <x:c r="I4" s="39" t="str">
        <x:v>SaaS; fintech; software</x:v>
      </x:c>
      <x:c r="J4" s="39" t="str">
        <x:v>Seed; Series A</x:v>
      </x:c>
      <x:c r="K4" s="39" t="str">
        <x:v>Investidor early-stage</x:v>
      </x:c>
      <x:c r="L4" s="39" t="str">
        <x:v>Revolut; Qonto</x:v>
      </x:c>
      <x:c r="M4" s="39" t="str"/>
      <x:c r="N4" s="39" t="str"/>
      <x:c r="O4" s="39" t="str">
        <x:v>https://www.pointnine.com/team</x:v>
      </x:c>
      <x:c r="P4" s="39" t="str">
        <x:v>Relacionar o produto com software europeu de elevada frequência e expansão internacional.</x:v>
      </x:c>
      <x:c r="Q4" s="39" t="str">
        <x:v>Foco e portfólio apresentados no perfil da equipa.</x:v>
      </x:c>
      <x:c r="R4" s="39" t="str">
        <x:v>https://www.pointnine.com/team</x:v>
      </x:c>
      <x:c r="S4" s="44" t="str">
        <x:v>2026-09-09</x:v>
      </x:c>
      <x:c r="T4" s="39" t="str">
        <x:v>Média</x:v>
      </x:c>
      <x:c r="U4" s="39" t="str">
        <x:v>Parcial</x:v>
      </x:c>
      <x:c r="V4" s="39" t="str"/>
    </x:row>
    <x:row r="5" ht="40" customHeight="1">
      <x:c r="A5" s="39" t="str">
        <x:v>PER0004</x:v>
      </x:c>
      <x:c r="B5" s="39" t="str">
        <x:v>INV001</x:v>
      </x:c>
      <x:c r="C5" s="39" t="str">
        <x:v>Point Nine</x:v>
      </x:c>
      <x:c r="D5" s="39" t="str">
        <x:v>Ricardo Sequerra Amram</x:v>
      </x:c>
      <x:c r="E5" s="39" t="str">
        <x:v>Partner</x:v>
      </x:c>
      <x:c r="F5" s="39" t="str">
        <x:v>Sim</x:v>
      </x:c>
      <x:c r="G5" s="39" t="str">
        <x:v>Decisor</x:v>
      </x:c>
      <x:c r="H5" s="39" t="str">
        <x:v>Berlim</x:v>
      </x:c>
      <x:c r="I5" s="39" t="str">
        <x:v>SaaS; AI; produtividade</x:v>
      </x:c>
      <x:c r="J5" s="39" t="str">
        <x:v>Seed; Series A</x:v>
      </x:c>
      <x:c r="K5" s="39" t="str">
        <x:v>Investidor e operador</x:v>
      </x:c>
      <x:c r="L5" s="39" t="str">
        <x:v>Factorial; Attio</x:v>
      </x:c>
      <x:c r="M5" s="39" t="str"/>
      <x:c r="N5" s="39" t="str"/>
      <x:c r="O5" s="39" t="str">
        <x:v>https://www.pointnine.com/team</x:v>
      </x:c>
      <x:c r="P5" s="39" t="str">
        <x:v>Mostrar uma hipótese concreta de adoção e retenção em software B2B.</x:v>
      </x:c>
      <x:c r="Q5" s="39" t="str">
        <x:v>Histórico do portfólio em software B2B.</x:v>
      </x:c>
      <x:c r="R5" s="39" t="str">
        <x:v>https://www.pointnine.com/team</x:v>
      </x:c>
      <x:c r="S5" s="44" t="str">
        <x:v>2026-09-09</x:v>
      </x:c>
      <x:c r="T5" s="39" t="str">
        <x:v>Média</x:v>
      </x:c>
      <x:c r="U5" s="39" t="str">
        <x:v>Parcial</x:v>
      </x:c>
      <x:c r="V5" s="39" t="str"/>
    </x:row>
    <x:row r="6" ht="40" customHeight="1">
      <x:c r="A6" s="39" t="str">
        <x:v>PER0005</x:v>
      </x:c>
      <x:c r="B6" s="39" t="str">
        <x:v>INV002</x:v>
      </x:c>
      <x:c r="C6" s="39" t="str">
        <x:v>Seedcamp</x:v>
      </x:c>
      <x:c r="D6" s="39" t="str">
        <x:v>Reshma Sohoni</x:v>
      </x:c>
      <x:c r="E6" s="39" t="str">
        <x:v>Co-Founder &amp; Managing Partner</x:v>
      </x:c>
      <x:c r="F6" s="39" t="str">
        <x:v>Sim</x:v>
      </x:c>
      <x:c r="G6" s="39" t="str">
        <x:v>Decisor</x:v>
      </x:c>
      <x:c r="H6" s="39" t="str">
        <x:v>Londres</x:v>
      </x:c>
      <x:c r="I6" s="39" t="str">
        <x:v>Early-stage tech; expansão global</x:v>
      </x:c>
      <x:c r="J6" s="39" t="str">
        <x:v>Pre-seed; Seed</x:v>
      </x:c>
      <x:c r="K6" s="39" t="str">
        <x:v>M&amp;A banking; Vodafone</x:v>
      </x:c>
      <x:c r="L6" s="39" t="str">
        <x:v>UiPath; Wise; Revolut</x:v>
      </x:c>
      <x:c r="M6" s="39" t="str"/>
      <x:c r="N6" s="39" t="str"/>
      <x:c r="O6" s="39" t="str">
        <x:v>https://seedcamp.com/people/reshma-sohoni/</x:v>
      </x:c>
      <x:c r="P6" s="39" t="str">
        <x:v>Explicar como a empresa pode sair da Europa e construir distribuição internacional.</x:v>
      </x:c>
      <x:c r="Q6" s="39" t="str">
        <x:v>Perfil destaca expansão para os EUA e crescimento global.</x:v>
      </x:c>
      <x:c r="R6" s="39" t="str">
        <x:v>https://seedcamp.com/people/reshma-sohoni/</x:v>
      </x:c>
      <x:c r="S6" s="44" t="str">
        <x:v>2026-09-09</x:v>
      </x:c>
      <x:c r="T6" s="39" t="str">
        <x:v>Alta</x:v>
      </x:c>
      <x:c r="U6" s="39" t="str">
        <x:v>Enriquecido</x:v>
      </x:c>
      <x:c r="V6" s="39" t="str"/>
    </x:row>
    <x:row r="7" ht="40" customHeight="1">
      <x:c r="A7" s="39" t="str">
        <x:v>PER0006</x:v>
      </x:c>
      <x:c r="B7" s="39" t="str">
        <x:v>INV002</x:v>
      </x:c>
      <x:c r="C7" s="39" t="str">
        <x:v>Seedcamp</x:v>
      </x:c>
      <x:c r="D7" s="39" t="str">
        <x:v>Carlos Eduardo Espinal</x:v>
      </x:c>
      <x:c r="E7" s="39" t="str">
        <x:v>Managing Partner</x:v>
      </x:c>
      <x:c r="F7" s="39" t="str">
        <x:v>Sim</x:v>
      </x:c>
      <x:c r="G7" s="39" t="str">
        <x:v>Decisor</x:v>
      </x:c>
      <x:c r="H7" s="39" t="str">
        <x:v>Londres</x:v>
      </x:c>
      <x:c r="I7" s="39" t="str">
        <x:v>Fundraising; SaaS; equipas</x:v>
      </x:c>
      <x:c r="J7" s="39" t="str">
        <x:v>Pre-seed; Seed</x:v>
      </x:c>
      <x:c r="K7" s="39" t="str">
        <x:v>GTE CyberTrust; SIAC/NYSE R&amp;D</x:v>
      </x:c>
      <x:c r="L7" s="39" t="str">
        <x:v>Hopin; Wefox</x:v>
      </x:c>
      <x:c r="M7" s="39" t="str"/>
      <x:c r="N7" s="39" t="str"/>
      <x:c r="O7" s="39" t="str">
        <x:v>https://seedcamp.com/people/carlos-eduardo-espinal/</x:v>
      </x:c>
      <x:c r="P7" s="39" t="str">
        <x:v>Usar uma lição concreta do Fundraising Field Guide para enquadrar a ronda.</x:v>
      </x:c>
      <x:c r="Q7" s="39" t="str">
        <x:v>Autor e host de conteúdos sobre fundraising e dinâmica de equipas.</x:v>
      </x:c>
      <x:c r="R7" s="39" t="str">
        <x:v>https://seedcamp.com/people/carlos-eduardo-espinal/</x:v>
      </x:c>
      <x:c r="S7" s="44" t="str">
        <x:v>2026-09-09</x:v>
      </x:c>
      <x:c r="T7" s="39" t="str">
        <x:v>Alta</x:v>
      </x:c>
      <x:c r="U7" s="39" t="str">
        <x:v>Enriquecido</x:v>
      </x:c>
      <x:c r="V7" s="39" t="str"/>
    </x:row>
    <x:row r="8" ht="40" customHeight="1">
      <x:c r="A8" s="39" t="str">
        <x:v>PER0007</x:v>
      </x:c>
      <x:c r="B8" s="39" t="str">
        <x:v>INV002</x:v>
      </x:c>
      <x:c r="C8" s="39" t="str">
        <x:v>Seedcamp</x:v>
      </x:c>
      <x:c r="D8" s="39" t="str">
        <x:v>Tom Wilson</x:v>
      </x:c>
      <x:c r="E8" s="39" t="str">
        <x:v>Partner</x:v>
      </x:c>
      <x:c r="F8" s="39" t="str">
        <x:v>Sim</x:v>
      </x:c>
      <x:c r="G8" s="39" t="str">
        <x:v>Decisor</x:v>
      </x:c>
      <x:c r="H8" s="39" t="str">
        <x:v>Londres</x:v>
      </x:c>
      <x:c r="I8" s="39" t="str">
        <x:v>Fintech; enterprise; software</x:v>
      </x:c>
      <x:c r="J8" s="39" t="str">
        <x:v>Pre-seed; Seed</x:v>
      </x:c>
      <x:c r="K8" s="39" t="str">
        <x:v>Investimento e operações</x:v>
      </x:c>
      <x:c r="L8" s="39" t="str"/>
      <x:c r="M8" s="39" t="str"/>
      <x:c r="N8" s="39" t="str"/>
      <x:c r="O8" s="39" t="str">
        <x:v>https://seedcamp.com/our-team/</x:v>
      </x:c>
      <x:c r="P8" s="39" t="str">
        <x:v>Apresentar um insight de distribuição e uma razão clara para ganhar o mercado europeu.</x:v>
      </x:c>
      <x:c r="Q8" s="39" t="str">
        <x:v>Membro da equipa de investimento Seedcamp.</x:v>
      </x:c>
      <x:c r="R8" s="39" t="str">
        <x:v>https://seedcamp.com/our-team/</x:v>
      </x:c>
      <x:c r="S8" s="44" t="str">
        <x:v>2026-09-09</x:v>
      </x:c>
      <x:c r="T8" s="39" t="str">
        <x:v>Média</x:v>
      </x:c>
      <x:c r="U8" s="39" t="str">
        <x:v>Base</x:v>
      </x:c>
      <x:c r="V8" s="39" t="str"/>
    </x:row>
    <x:row r="9" ht="40" customHeight="1">
      <x:c r="A9" s="39" t="str">
        <x:v>PER0008</x:v>
      </x:c>
      <x:c r="B9" s="39" t="str">
        <x:v>INV002</x:v>
      </x:c>
      <x:c r="C9" s="39" t="str">
        <x:v>Seedcamp</x:v>
      </x:c>
      <x:c r="D9" s="39" t="str">
        <x:v>Sia Houchangnia</x:v>
      </x:c>
      <x:c r="E9" s="39" t="str">
        <x:v>Partner</x:v>
      </x:c>
      <x:c r="F9" s="39" t="str">
        <x:v>Sim</x:v>
      </x:c>
      <x:c r="G9" s="39" t="str">
        <x:v>Decisor</x:v>
      </x:c>
      <x:c r="H9" s="39" t="str">
        <x:v>Paris / Londres</x:v>
      </x:c>
      <x:c r="I9" s="39" t="str">
        <x:v>Consumer; fintech; software</x:v>
      </x:c>
      <x:c r="J9" s="39" t="str">
        <x:v>Pre-seed; Seed</x:v>
      </x:c>
      <x:c r="K9" s="39" t="str">
        <x:v>Investimento early-stage</x:v>
      </x:c>
      <x:c r="L9" s="39" t="str"/>
      <x:c r="M9" s="39" t="str"/>
      <x:c r="N9" s="39" t="str"/>
      <x:c r="O9" s="39" t="str">
        <x:v>https://seedcamp.com/our-team/</x:v>
      </x:c>
      <x:c r="P9" s="39" t="str">
        <x:v>Ligar o caso a comportamento do utilizador e velocidade de iteração.</x:v>
      </x:c>
      <x:c r="Q9" s="39" t="str">
        <x:v>Membro da equipa de investimento Seedcamp.</x:v>
      </x:c>
      <x:c r="R9" s="39" t="str">
        <x:v>https://seedcamp.com/our-team/</x:v>
      </x:c>
      <x:c r="S9" s="44" t="str">
        <x:v>2026-09-09</x:v>
      </x:c>
      <x:c r="T9" s="39" t="str">
        <x:v>Média</x:v>
      </x:c>
      <x:c r="U9" s="39" t="str">
        <x:v>Base</x:v>
      </x:c>
      <x:c r="V9" s="39" t="str"/>
    </x:row>
    <x:row r="10" ht="40" customHeight="1">
      <x:c r="A10" s="39" t="str">
        <x:v>PER0009</x:v>
      </x:c>
      <x:c r="B10" s="39" t="str">
        <x:v>INV003</x:v>
      </x:c>
      <x:c r="C10" s="39" t="str">
        <x:v>JME Ventures</x:v>
      </x:c>
      <x:c r="D10" s="39" t="str">
        <x:v>Samuel Gil</x:v>
      </x:c>
      <x:c r="E10" s="39" t="str">
        <x:v>Managing Partner</x:v>
      </x:c>
      <x:c r="F10" s="39" t="str">
        <x:v>Sim</x:v>
      </x:c>
      <x:c r="G10" s="39" t="str">
        <x:v>Decisor</x:v>
      </x:c>
      <x:c r="H10" s="39" t="str">
        <x:v>Madrid</x:v>
      </x:c>
      <x:c r="I10" s="39" t="str">
        <x:v>Tecnologia; software</x:v>
      </x:c>
      <x:c r="J10" s="39" t="str">
        <x:v>Seed; Series A</x:v>
      </x:c>
      <x:c r="K10" s="39" t="str">
        <x:v>Engenharia; investimento</x:v>
      </x:c>
      <x:c r="L10" s="39" t="str"/>
      <x:c r="M10" s="39" t="str"/>
      <x:c r="N10" s="39" t="str"/>
      <x:c r="O10" s="39" t="str">
        <x:v>https://www.jme.vc/</x:v>
      </x:c>
      <x:c r="P10" s="39" t="str">
        <x:v>Começar por uma tese técnica clara e pelas provas de execução da equipa.</x:v>
      </x:c>
      <x:c r="Q10" s="39" t="str">
        <x:v>Sócio gestor de fundo tecnológico seed.</x:v>
      </x:c>
      <x:c r="R10" s="39" t="str">
        <x:v>https://www.jme.vc/</x:v>
      </x:c>
      <x:c r="S10" s="44" t="str">
        <x:v>2026-09-09</x:v>
      </x:c>
      <x:c r="T10" s="39" t="str">
        <x:v>Média</x:v>
      </x:c>
      <x:c r="U10" s="39" t="str">
        <x:v>Parcial</x:v>
      </x:c>
      <x:c r="V10" s="39" t="str"/>
    </x:row>
    <x:row r="11" ht="40" customHeight="1">
      <x:c r="A11" s="39" t="str">
        <x:v>PER0010</x:v>
      </x:c>
      <x:c r="B11" s="39" t="str">
        <x:v>INV003</x:v>
      </x:c>
      <x:c r="C11" s="39" t="str">
        <x:v>JME Ventures</x:v>
      </x:c>
      <x:c r="D11" s="39" t="str">
        <x:v>Lourdes Álvarez de Toledo</x:v>
      </x:c>
      <x:c r="E11" s="39" t="str">
        <x:v>Partner</x:v>
      </x:c>
      <x:c r="F11" s="39" t="str">
        <x:v>Sim</x:v>
      </x:c>
      <x:c r="G11" s="39" t="str">
        <x:v>Decisor</x:v>
      </x:c>
      <x:c r="H11" s="39" t="str">
        <x:v>Madrid</x:v>
      </x:c>
      <x:c r="I11" s="39" t="str">
        <x:v>Tecnologia; consumo; marketplaces</x:v>
      </x:c>
      <x:c r="J11" s="39" t="str">
        <x:v>Seed; Series A</x:v>
      </x:c>
      <x:c r="K11" s="39" t="str">
        <x:v>Investimento</x:v>
      </x:c>
      <x:c r="L11" s="39" t="str"/>
      <x:c r="M11" s="39" t="str"/>
      <x:c r="N11" s="39" t="str"/>
      <x:c r="O11" s="39" t="str">
        <x:v>https://www.jme.vc/</x:v>
      </x:c>
      <x:c r="P11" s="39" t="str">
        <x:v>Enquadrar o problema, a frequência de uso e o comportamento do cliente.</x:v>
      </x:c>
      <x:c r="Q11" s="39" t="str">
        <x:v>Parceira na equipa de investimento.</x:v>
      </x:c>
      <x:c r="R11" s="39" t="str">
        <x:v>https://www.jme.vc/</x:v>
      </x:c>
      <x:c r="S11" s="44" t="str">
        <x:v>2026-09-09</x:v>
      </x:c>
      <x:c r="T11" s="39" t="str">
        <x:v>Média</x:v>
      </x:c>
      <x:c r="U11" s="39" t="str">
        <x:v>Base</x:v>
      </x:c>
      <x:c r="V11" s="39" t="str"/>
    </x:row>
    <x:row r="12" ht="40" customHeight="1">
      <x:c r="A12" s="39" t="str">
        <x:v>PER0011</x:v>
      </x:c>
      <x:c r="B12" s="39" t="str">
        <x:v>INV003</x:v>
      </x:c>
      <x:c r="C12" s="39" t="str">
        <x:v>JME Ventures</x:v>
      </x:c>
      <x:c r="D12" s="39" t="str">
        <x:v>Iván Landabaso</x:v>
      </x:c>
      <x:c r="E12" s="39" t="str">
        <x:v>Partner</x:v>
      </x:c>
      <x:c r="F12" s="39" t="str">
        <x:v>Sim</x:v>
      </x:c>
      <x:c r="G12" s="39" t="str">
        <x:v>Decisor</x:v>
      </x:c>
      <x:c r="H12" s="39" t="str">
        <x:v>Madrid</x:v>
      </x:c>
      <x:c r="I12" s="39" t="str">
        <x:v>Software; tecnologia</x:v>
      </x:c>
      <x:c r="J12" s="39" t="str">
        <x:v>Seed; Series A</x:v>
      </x:c>
      <x:c r="K12" s="39" t="str">
        <x:v>Investimento</x:v>
      </x:c>
      <x:c r="L12" s="39" t="str"/>
      <x:c r="M12" s="39" t="str"/>
      <x:c r="N12" s="39" t="str"/>
      <x:c r="O12" s="39" t="str">
        <x:v>https://www.jme.vc/</x:v>
      </x:c>
      <x:c r="P12" s="39" t="str">
        <x:v>Mostrar por que o produto pode tornar-se referência no mercado espanhol e europeu.</x:v>
      </x:c>
      <x:c r="Q12" s="39" t="str">
        <x:v>Parceiro na equipa de investimento.</x:v>
      </x:c>
      <x:c r="R12" s="39" t="str">
        <x:v>https://www.jme.vc/</x:v>
      </x:c>
      <x:c r="S12" s="44" t="str">
        <x:v>2026-09-09</x:v>
      </x:c>
      <x:c r="T12" s="39" t="str">
        <x:v>Média</x:v>
      </x:c>
      <x:c r="U12" s="39" t="str">
        <x:v>Base</x:v>
      </x:c>
      <x:c r="V12" s="39" t="str"/>
    </x:row>
    <x:row r="13" ht="40" customHeight="1">
      <x:c r="A13" s="39" t="str">
        <x:v>PER0012</x:v>
      </x:c>
      <x:c r="B13" s="39" t="str">
        <x:v>INV004</x:v>
      </x:c>
      <x:c r="C13" s="39" t="str">
        <x:v>Picus Capital</x:v>
      </x:c>
      <x:c r="D13" s="39" t="str">
        <x:v>Alexander Samwer</x:v>
      </x:c>
      <x:c r="E13" s="39" t="str">
        <x:v>Founding Partner</x:v>
      </x:c>
      <x:c r="F13" s="39" t="str">
        <x:v>Sim</x:v>
      </x:c>
      <x:c r="G13" s="39" t="str">
        <x:v>Decisor</x:v>
      </x:c>
      <x:c r="H13" s="39" t="str">
        <x:v>Munique</x:v>
      </x:c>
      <x:c r="I13" s="39" t="str">
        <x:v>Tech generalist; long-term capital</x:v>
      </x:c>
      <x:c r="J13" s="39" t="str">
        <x:v>Pre-seed; Seed; Series A</x:v>
      </x:c>
      <x:c r="K13" s="39" t="str"/>
      <x:c r="L13" s="39" t="str"/>
      <x:c r="M13" s="39" t="str"/>
      <x:c r="N13" s="39" t="str"/>
      <x:c r="O13" s="39" t="str">
        <x:v>https://www.picuscap.com/team/</x:v>
      </x:c>
      <x:c r="P13" s="39" t="str">
        <x:v>Apresentar a visão de 10 anos e o motivo para esta equipa ser capaz de dominar a categoria.</x:v>
      </x:c>
      <x:c r="Q13" s="39" t="str">
        <x:v>Picus sublinha parceria de longo prazo desde o início.</x:v>
      </x:c>
      <x:c r="R13" s="39" t="str">
        <x:v>https://www.picuscap.com/team/</x:v>
      </x:c>
      <x:c r="S13" s="44" t="str">
        <x:v>2026-09-09</x:v>
      </x:c>
      <x:c r="T13" s="39" t="str">
        <x:v>Média</x:v>
      </x:c>
      <x:c r="U13" s="39" t="str">
        <x:v>Parcial</x:v>
      </x:c>
      <x:c r="V13" s="39" t="str"/>
    </x:row>
    <x:row r="14" ht="40" customHeight="1">
      <x:c r="A14" s="39" t="str">
        <x:v>PER0013</x:v>
      </x:c>
      <x:c r="B14" s="39" t="str">
        <x:v>INV004</x:v>
      </x:c>
      <x:c r="C14" s="39" t="str">
        <x:v>Picus Capital</x:v>
      </x:c>
      <x:c r="D14" s="39" t="str">
        <x:v>Jeremias Heinrich</x:v>
      </x:c>
      <x:c r="E14" s="39" t="str">
        <x:v>Founding Partner</x:v>
      </x:c>
      <x:c r="F14" s="39" t="str">
        <x:v>Sim</x:v>
      </x:c>
      <x:c r="G14" s="39" t="str">
        <x:v>Decisor</x:v>
      </x:c>
      <x:c r="H14" s="39" t="str">
        <x:v>Munique</x:v>
      </x:c>
      <x:c r="I14" s="39" t="str">
        <x:v>Climate; enterprise; fintech</x:v>
      </x:c>
      <x:c r="J14" s="39" t="str">
        <x:v>Pre-seed; Seed; Series A</x:v>
      </x:c>
      <x:c r="K14" s="39" t="str"/>
      <x:c r="L14" s="39" t="str"/>
      <x:c r="M14" s="39" t="str"/>
      <x:c r="N14" s="39" t="str"/>
      <x:c r="O14" s="39" t="str">
        <x:v>https://www.picuscap.com/team/</x:v>
      </x:c>
      <x:c r="P14" s="39" t="str">
        <x:v>Apresentar a visão de 10 anos e o motivo para esta equipa ser capaz de dominar a categoria.</x:v>
      </x:c>
      <x:c r="Q14" s="39" t="str">
        <x:v>Picus sublinha parceria de longo prazo desde o início.</x:v>
      </x:c>
      <x:c r="R14" s="39" t="str">
        <x:v>https://www.picuscap.com/team/</x:v>
      </x:c>
      <x:c r="S14" s="44" t="str">
        <x:v>2026-09-09</x:v>
      </x:c>
      <x:c r="T14" s="39" t="str">
        <x:v>Média</x:v>
      </x:c>
      <x:c r="U14" s="39" t="str">
        <x:v>Parcial</x:v>
      </x:c>
      <x:c r="V14" s="39" t="str"/>
    </x:row>
    <x:row r="15" ht="40" customHeight="1">
      <x:c r="A15" s="39" t="str">
        <x:v>PER0014</x:v>
      </x:c>
      <x:c r="B15" s="39" t="str">
        <x:v>INV004</x:v>
      </x:c>
      <x:c r="C15" s="39" t="str">
        <x:v>Picus Capital</x:v>
      </x:c>
      <x:c r="D15" s="39" t="str">
        <x:v>Robin Godenrath</x:v>
      </x:c>
      <x:c r="E15" s="39" t="str">
        <x:v>Founding Partner &amp; Managing Director</x:v>
      </x:c>
      <x:c r="F15" s="39" t="str">
        <x:v>Sim</x:v>
      </x:c>
      <x:c r="G15" s="39" t="str">
        <x:v>Decisor</x:v>
      </x:c>
      <x:c r="H15" s="39" t="str">
        <x:v>Munique</x:v>
      </x:c>
      <x:c r="I15" s="39" t="str">
        <x:v>Early-stage tech</x:v>
      </x:c>
      <x:c r="J15" s="39" t="str">
        <x:v>Pre-seed; Seed; Series A</x:v>
      </x:c>
      <x:c r="K15" s="39" t="str"/>
      <x:c r="L15" s="39" t="str"/>
      <x:c r="M15" s="39" t="str"/>
      <x:c r="N15" s="39" t="str"/>
      <x:c r="O15" s="39" t="str">
        <x:v>https://www.picuscap.com/team/</x:v>
      </x:c>
      <x:c r="P15" s="39" t="str">
        <x:v>Apresentar a visão de 10 anos e o motivo para esta equipa ser capaz de dominar a categoria.</x:v>
      </x:c>
      <x:c r="Q15" s="39" t="str">
        <x:v>Picus sublinha parceria de longo prazo desde o início.</x:v>
      </x:c>
      <x:c r="R15" s="39" t="str">
        <x:v>https://www.picuscap.com/team/</x:v>
      </x:c>
      <x:c r="S15" s="44" t="str">
        <x:v>2026-09-09</x:v>
      </x:c>
      <x:c r="T15" s="39" t="str">
        <x:v>Média</x:v>
      </x:c>
      <x:c r="U15" s="39" t="str">
        <x:v>Parcial</x:v>
      </x:c>
      <x:c r="V15" s="39" t="str"/>
    </x:row>
    <x:row r="16" ht="40" customHeight="1">
      <x:c r="A16" s="39" t="str">
        <x:v>PER0015</x:v>
      </x:c>
      <x:c r="B16" s="39" t="str">
        <x:v>INV004</x:v>
      </x:c>
      <x:c r="C16" s="39" t="str">
        <x:v>Picus Capital</x:v>
      </x:c>
      <x:c r="D16" s="39" t="str">
        <x:v>Oliver Heinrich</x:v>
      </x:c>
      <x:c r="E16" s="39" t="str">
        <x:v>Partner</x:v>
      </x:c>
      <x:c r="F16" s="39" t="str">
        <x:v>Sim</x:v>
      </x:c>
      <x:c r="G16" s="39" t="str">
        <x:v>Decisor</x:v>
      </x:c>
      <x:c r="H16" s="39" t="str">
        <x:v>Munique</x:v>
      </x:c>
      <x:c r="I16" s="39" t="str">
        <x:v>Enterprise; fintech</x:v>
      </x:c>
      <x:c r="J16" s="39" t="str">
        <x:v>Pre-seed; Seed; Series A</x:v>
      </x:c>
      <x:c r="K16" s="39" t="str"/>
      <x:c r="L16" s="39" t="str"/>
      <x:c r="M16" s="39" t="str"/>
      <x:c r="N16" s="39" t="str"/>
      <x:c r="O16" s="39" t="str">
        <x:v>https://www.picuscap.com/team/</x:v>
      </x:c>
      <x:c r="P16" s="39" t="str">
        <x:v>Apresentar a visão de 10 anos e o motivo para esta equipa ser capaz de dominar a categoria.</x:v>
      </x:c>
      <x:c r="Q16" s="39" t="str">
        <x:v>Picus sublinha parceria de longo prazo desde o início.</x:v>
      </x:c>
      <x:c r="R16" s="39" t="str">
        <x:v>https://www.picuscap.com/team/</x:v>
      </x:c>
      <x:c r="S16" s="44" t="str">
        <x:v>2026-09-09</x:v>
      </x:c>
      <x:c r="T16" s="39" t="str">
        <x:v>Média</x:v>
      </x:c>
      <x:c r="U16" s="39" t="str">
        <x:v>Parcial</x:v>
      </x:c>
      <x:c r="V16" s="39" t="str"/>
    </x:row>
    <x:row r="17" ht="40" customHeight="1">
      <x:c r="A17" s="39" t="str">
        <x:v>PER0016</x:v>
      </x:c>
      <x:c r="B17" s="39" t="str">
        <x:v>INV004</x:v>
      </x:c>
      <x:c r="C17" s="39" t="str">
        <x:v>Picus Capital</x:v>
      </x:c>
      <x:c r="D17" s="39" t="str">
        <x:v>Raphael Mukomilow</x:v>
      </x:c>
      <x:c r="E17" s="39" t="str">
        <x:v>Partner</x:v>
      </x:c>
      <x:c r="F17" s="39" t="str">
        <x:v>Sim</x:v>
      </x:c>
      <x:c r="G17" s="39" t="str">
        <x:v>Decisor</x:v>
      </x:c>
      <x:c r="H17" s="39" t="str">
        <x:v>Londres</x:v>
      </x:c>
      <x:c r="I17" s="39" t="str">
        <x:v>Health; biotech; software</x:v>
      </x:c>
      <x:c r="J17" s="39" t="str">
        <x:v>Pre-seed; Seed; Series A</x:v>
      </x:c>
      <x:c r="K17" s="39" t="str"/>
      <x:c r="L17" s="39" t="str"/>
      <x:c r="M17" s="39" t="str"/>
      <x:c r="N17" s="39" t="str"/>
      <x:c r="O17" s="39" t="str">
        <x:v>https://www.picuscap.com/team/</x:v>
      </x:c>
      <x:c r="P17" s="39" t="str">
        <x:v>Apresentar a visão de 10 anos e o motivo para esta equipa ser capaz de dominar a categoria.</x:v>
      </x:c>
      <x:c r="Q17" s="39" t="str">
        <x:v>Picus sublinha parceria de longo prazo desde o início.</x:v>
      </x:c>
      <x:c r="R17" s="39" t="str">
        <x:v>https://www.picuscap.com/team/</x:v>
      </x:c>
      <x:c r="S17" s="44" t="str">
        <x:v>2026-09-09</x:v>
      </x:c>
      <x:c r="T17" s="39" t="str">
        <x:v>Média</x:v>
      </x:c>
      <x:c r="U17" s="39" t="str">
        <x:v>Parcial</x:v>
      </x:c>
      <x:c r="V17" s="39" t="str"/>
    </x:row>
    <x:row r="18" ht="40" customHeight="1">
      <x:c r="A18" s="39" t="str">
        <x:v>PER0017</x:v>
      </x:c>
      <x:c r="B18" s="39" t="str">
        <x:v>INV004</x:v>
      </x:c>
      <x:c r="C18" s="39" t="str">
        <x:v>Picus Capital</x:v>
      </x:c>
      <x:c r="D18" s="39" t="str">
        <x:v>Sebastian Schäfer</x:v>
      </x:c>
      <x:c r="E18" s="39" t="str">
        <x:v>Partner</x:v>
      </x:c>
      <x:c r="F18" s="39" t="str">
        <x:v>Sim</x:v>
      </x:c>
      <x:c r="G18" s="39" t="str">
        <x:v>Decisor</x:v>
      </x:c>
      <x:c r="H18" s="39" t="str">
        <x:v>Berlim</x:v>
      </x:c>
      <x:c r="I18" s="39" t="str">
        <x:v>AI; enterprise</x:v>
      </x:c>
      <x:c r="J18" s="39" t="str">
        <x:v>Pre-seed; Seed; Series A</x:v>
      </x:c>
      <x:c r="K18" s="39" t="str"/>
      <x:c r="L18" s="39" t="str"/>
      <x:c r="M18" s="39" t="str"/>
      <x:c r="N18" s="39" t="str"/>
      <x:c r="O18" s="39" t="str">
        <x:v>https://www.picuscap.com/team/</x:v>
      </x:c>
      <x:c r="P18" s="39" t="str">
        <x:v>Apresentar a visão de 10 anos e o motivo para esta equipa ser capaz de dominar a categoria.</x:v>
      </x:c>
      <x:c r="Q18" s="39" t="str">
        <x:v>Picus sublinha parceria de longo prazo desde o início.</x:v>
      </x:c>
      <x:c r="R18" s="39" t="str">
        <x:v>https://www.picuscap.com/team/</x:v>
      </x:c>
      <x:c r="S18" s="44" t="str">
        <x:v>2026-09-09</x:v>
      </x:c>
      <x:c r="T18" s="39" t="str">
        <x:v>Média</x:v>
      </x:c>
      <x:c r="U18" s="39" t="str">
        <x:v>Parcial</x:v>
      </x:c>
      <x:c r="V18" s="39" t="str"/>
    </x:row>
    <x:row r="19" ht="40" customHeight="1">
      <x:c r="A19" s="39" t="str">
        <x:v>PER0018</x:v>
      </x:c>
      <x:c r="B19" s="39" t="str">
        <x:v>INV004</x:v>
      </x:c>
      <x:c r="C19" s="39" t="str">
        <x:v>Picus Capital</x:v>
      </x:c>
      <x:c r="D19" s="39" t="str">
        <x:v>Cosima Paul</x:v>
      </x:c>
      <x:c r="E19" s="39" t="str">
        <x:v>Investor</x:v>
      </x:c>
      <x:c r="F19" s="39" t="str">
        <x:v>Rever</x:v>
      </x:c>
      <x:c r="G19" s="39" t="str">
        <x:v>Equipa de investimento</x:v>
      </x:c>
      <x:c r="H19" s="39" t="str"/>
      <x:c r="I19" s="39" t="str">
        <x:v>Early-stage tech</x:v>
      </x:c>
      <x:c r="J19" s="39" t="str">
        <x:v>Pre-seed; Seed; Series A</x:v>
      </x:c>
      <x:c r="K19" s="39" t="str"/>
      <x:c r="L19" s="39" t="str"/>
      <x:c r="M19" s="39" t="str"/>
      <x:c r="N19" s="39" t="str"/>
      <x:c r="O19" s="39" t="str">
        <x:v>https://www.picuscap.com/team/</x:v>
      </x:c>
      <x:c r="P19" s="39" t="str">
        <x:v>Apresentar a visão de 10 anos e o motivo para esta equipa ser capaz de dominar a categoria.</x:v>
      </x:c>
      <x:c r="Q19" s="39" t="str">
        <x:v>Picus sublinha parceria de longo prazo desde o início.</x:v>
      </x:c>
      <x:c r="R19" s="39" t="str">
        <x:v>https://www.picuscap.com/team/</x:v>
      </x:c>
      <x:c r="S19" s="44" t="str">
        <x:v>2026-09-09</x:v>
      </x:c>
      <x:c r="T19" s="39" t="str">
        <x:v>Média</x:v>
      </x:c>
      <x:c r="U19" s="39" t="str">
        <x:v>Base</x:v>
      </x:c>
      <x:c r="V19" s="39" t="str"/>
    </x:row>
    <x:row r="20" ht="40" customHeight="1">
      <x:c r="A20" s="39" t="str">
        <x:v>PER0019</x:v>
      </x:c>
      <x:c r="B20" s="39" t="str">
        <x:v>INV005</x:v>
      </x:c>
      <x:c r="C20" s="39" t="str">
        <x:v>Speedinvest</x:v>
      </x:c>
      <x:c r="D20" s="39" t="str">
        <x:v>Oliver Holle</x:v>
      </x:c>
      <x:c r="E20" s="39" t="str">
        <x:v>CEO &amp; Managing Partner</x:v>
      </x:c>
      <x:c r="F20" s="39" t="str">
        <x:v>Sim</x:v>
      </x:c>
      <x:c r="G20" s="39" t="str">
        <x:v>Decisor</x:v>
      </x:c>
      <x:c r="H20" s="39" t="str">
        <x:v>Viena</x:v>
      </x:c>
      <x:c r="I20" s="39" t="str">
        <x:v>Multi-sector</x:v>
      </x:c>
      <x:c r="J20" s="39" t="str">
        <x:v>Inception; Seed; Growth</x:v>
      </x:c>
      <x:c r="K20" s="39" t="str"/>
      <x:c r="L20" s="39" t="str"/>
      <x:c r="M20" s="39" t="str"/>
      <x:c r="N20" s="39" t="str"/>
      <x:c r="O20" s="39" t="str">
        <x:v>https://www.speedinvest.com/team</x:v>
      </x:c>
      <x:c r="P20" s="39" t="str">
        <x:v>Relacionar a empresa diretamente com a tese da equipa especialista e o estágio pretendido.</x:v>
      </x:c>
      <x:c r="Q20" s="39" t="str">
        <x:v>A firma organiza investidores por verticais e fase.</x:v>
      </x:c>
      <x:c r="R20" s="39" t="str">
        <x:v>https://www.speedinvest.com/team</x:v>
      </x:c>
      <x:c r="S20" s="44" t="str">
        <x:v>2026-09-09</x:v>
      </x:c>
      <x:c r="T20" s="39" t="str">
        <x:v>Alta</x:v>
      </x:c>
      <x:c r="U20" s="39" t="str">
        <x:v>Base</x:v>
      </x:c>
      <x:c r="V20" s="39" t="str"/>
    </x:row>
    <x:row r="21" ht="40" customHeight="1">
      <x:c r="A21" s="39" t="str">
        <x:v>PER0020</x:v>
      </x:c>
      <x:c r="B21" s="39" t="str">
        <x:v>INV005</x:v>
      </x:c>
      <x:c r="C21" s="39" t="str">
        <x:v>Speedinvest</x:v>
      </x:c>
      <x:c r="D21" s="39" t="str">
        <x:v>Markus Lang</x:v>
      </x:c>
      <x:c r="E21" s="39" t="str">
        <x:v>General Partner</x:v>
      </x:c>
      <x:c r="F21" s="39" t="str">
        <x:v>Sim</x:v>
      </x:c>
      <x:c r="G21" s="39" t="str">
        <x:v>Decisor</x:v>
      </x:c>
      <x:c r="H21" s="39" t="str">
        <x:v>Viena</x:v>
      </x:c>
      <x:c r="I21" s="39" t="str">
        <x:v>AI &amp; Infra; SaaS</x:v>
      </x:c>
      <x:c r="J21" s="39" t="str">
        <x:v>Inception; Seed; Growth</x:v>
      </x:c>
      <x:c r="K21" s="39" t="str"/>
      <x:c r="L21" s="39" t="str"/>
      <x:c r="M21" s="39" t="str"/>
      <x:c r="N21" s="39" t="str"/>
      <x:c r="O21" s="39" t="str">
        <x:v>https://www.speedinvest.com/team</x:v>
      </x:c>
      <x:c r="P21" s="39" t="str">
        <x:v>Relacionar a empresa diretamente com a tese da equipa especialista e o estágio pretendido.</x:v>
      </x:c>
      <x:c r="Q21" s="39" t="str">
        <x:v>A firma organiza investidores por verticais e fase.</x:v>
      </x:c>
      <x:c r="R21" s="39" t="str">
        <x:v>https://www.speedinvest.com/team</x:v>
      </x:c>
      <x:c r="S21" s="44" t="str">
        <x:v>2026-09-09</x:v>
      </x:c>
      <x:c r="T21" s="39" t="str">
        <x:v>Alta</x:v>
      </x:c>
      <x:c r="U21" s="39" t="str">
        <x:v>Enriquecido</x:v>
      </x:c>
      <x:c r="V21" s="39" t="str"/>
    </x:row>
    <x:row r="22" ht="40" customHeight="1">
      <x:c r="A22" s="39" t="str">
        <x:v>PER0021</x:v>
      </x:c>
      <x:c r="B22" s="39" t="str">
        <x:v>INV005</x:v>
      </x:c>
      <x:c r="C22" s="39" t="str">
        <x:v>Speedinvest</x:v>
      </x:c>
      <x:c r="D22" s="39" t="str">
        <x:v>Andreas Schwarzenbrunner</x:v>
      </x:c>
      <x:c r="E22" s="39" t="str">
        <x:v>General Partner</x:v>
      </x:c>
      <x:c r="F22" s="39" t="str">
        <x:v>Sim</x:v>
      </x:c>
      <x:c r="G22" s="39" t="str">
        <x:v>Decisor</x:v>
      </x:c>
      <x:c r="H22" s="39" t="str">
        <x:v>Viena</x:v>
      </x:c>
      <x:c r="I22" s="39" t="str">
        <x:v>Climate &amp; Industrial Tech</x:v>
      </x:c>
      <x:c r="J22" s="39" t="str">
        <x:v>Inception; Seed; Growth</x:v>
      </x:c>
      <x:c r="K22" s="39" t="str"/>
      <x:c r="L22" s="39" t="str"/>
      <x:c r="M22" s="39" t="str"/>
      <x:c r="N22" s="39" t="str"/>
      <x:c r="O22" s="39" t="str">
        <x:v>https://www.speedinvest.com/team</x:v>
      </x:c>
      <x:c r="P22" s="39" t="str">
        <x:v>Relacionar a empresa diretamente com a tese da equipa especialista e o estágio pretendido.</x:v>
      </x:c>
      <x:c r="Q22" s="39" t="str">
        <x:v>A firma organiza investidores por verticais e fase.</x:v>
      </x:c>
      <x:c r="R22" s="39" t="str">
        <x:v>https://www.speedinvest.com/team</x:v>
      </x:c>
      <x:c r="S22" s="44" t="str">
        <x:v>2026-09-09</x:v>
      </x:c>
      <x:c r="T22" s="39" t="str">
        <x:v>Alta</x:v>
      </x:c>
      <x:c r="U22" s="39" t="str">
        <x:v>Base</x:v>
      </x:c>
      <x:c r="V22" s="39" t="str"/>
    </x:row>
    <x:row r="23" ht="40" customHeight="1">
      <x:c r="A23" s="39" t="str">
        <x:v>PER0022</x:v>
      </x:c>
      <x:c r="B23" s="39" t="str">
        <x:v>INV005</x:v>
      </x:c>
      <x:c r="C23" s="39" t="str">
        <x:v>Speedinvest</x:v>
      </x:c>
      <x:c r="D23" s="39" t="str">
        <x:v>Marie-Hélène Ametsreiter</x:v>
      </x:c>
      <x:c r="E23" s="39" t="str">
        <x:v>General Partner</x:v>
      </x:c>
      <x:c r="F23" s="39" t="str">
        <x:v>Sim</x:v>
      </x:c>
      <x:c r="G23" s="39" t="str">
        <x:v>Decisor</x:v>
      </x:c>
      <x:c r="H23" s="39" t="str">
        <x:v>Munique</x:v>
      </x:c>
      <x:c r="I23" s="39" t="str">
        <x:v>Climate &amp; Industrial Tech</x:v>
      </x:c>
      <x:c r="J23" s="39" t="str">
        <x:v>Inception; Seed; Growth</x:v>
      </x:c>
      <x:c r="K23" s="39" t="str"/>
      <x:c r="L23" s="39" t="str"/>
      <x:c r="M23" s="39" t="str"/>
      <x:c r="N23" s="39" t="str"/>
      <x:c r="O23" s="39" t="str">
        <x:v>https://www.speedinvest.com/team</x:v>
      </x:c>
      <x:c r="P23" s="39" t="str">
        <x:v>Relacionar a empresa diretamente com a tese da equipa especialista e o estágio pretendido.</x:v>
      </x:c>
      <x:c r="Q23" s="39" t="str">
        <x:v>A firma organiza investidores por verticais e fase.</x:v>
      </x:c>
      <x:c r="R23" s="39" t="str">
        <x:v>https://www.speedinvest.com/team</x:v>
      </x:c>
      <x:c r="S23" s="44" t="str">
        <x:v>2026-09-09</x:v>
      </x:c>
      <x:c r="T23" s="39" t="str">
        <x:v>Alta</x:v>
      </x:c>
      <x:c r="U23" s="39" t="str">
        <x:v>Enriquecido</x:v>
      </x:c>
      <x:c r="V23" s="39" t="str"/>
    </x:row>
    <x:row r="24" ht="40" customHeight="1">
      <x:c r="A24" s="39" t="str">
        <x:v>PER0023</x:v>
      </x:c>
      <x:c r="B24" s="39" t="str">
        <x:v>INV005</x:v>
      </x:c>
      <x:c r="C24" s="39" t="str">
        <x:v>Speedinvest</x:v>
      </x:c>
      <x:c r="D24" s="39" t="str">
        <x:v>Stefan Klestil</x:v>
      </x:c>
      <x:c r="E24" s="39" t="str">
        <x:v>General Partner</x:v>
      </x:c>
      <x:c r="F24" s="39" t="str">
        <x:v>Sim</x:v>
      </x:c>
      <x:c r="G24" s="39" t="str">
        <x:v>Decisor</x:v>
      </x:c>
      <x:c r="H24" s="39" t="str">
        <x:v>Viena</x:v>
      </x:c>
      <x:c r="I24" s="39" t="str">
        <x:v>Fintech</x:v>
      </x:c>
      <x:c r="J24" s="39" t="str">
        <x:v>Inception; Seed; Growth</x:v>
      </x:c>
      <x:c r="K24" s="39" t="str"/>
      <x:c r="L24" s="39" t="str"/>
      <x:c r="M24" s="39" t="str"/>
      <x:c r="N24" s="39" t="str"/>
      <x:c r="O24" s="39" t="str">
        <x:v>https://www.speedinvest.com/team</x:v>
      </x:c>
      <x:c r="P24" s="39" t="str">
        <x:v>Relacionar a empresa diretamente com a tese da equipa especialista e o estágio pretendido.</x:v>
      </x:c>
      <x:c r="Q24" s="39" t="str">
        <x:v>A firma organiza investidores por verticais e fase.</x:v>
      </x:c>
      <x:c r="R24" s="39" t="str">
        <x:v>https://www.speedinvest.com/team</x:v>
      </x:c>
      <x:c r="S24" s="44" t="str">
        <x:v>2026-09-09</x:v>
      </x:c>
      <x:c r="T24" s="39" t="str">
        <x:v>Alta</x:v>
      </x:c>
      <x:c r="U24" s="39" t="str">
        <x:v>Base</x:v>
      </x:c>
      <x:c r="V24" s="39" t="str"/>
    </x:row>
    <x:row r="25" ht="40" customHeight="1">
      <x:c r="A25" s="39" t="str">
        <x:v>PER0024</x:v>
      </x:c>
      <x:c r="B25" s="39" t="str">
        <x:v>INV005</x:v>
      </x:c>
      <x:c r="C25" s="39" t="str">
        <x:v>Speedinvest</x:v>
      </x:c>
      <x:c r="D25" s="39" t="str">
        <x:v>Andrea Zitna</x:v>
      </x:c>
      <x:c r="E25" s="39" t="str">
        <x:v>Partner</x:v>
      </x:c>
      <x:c r="F25" s="39" t="str">
        <x:v>Sim</x:v>
      </x:c>
      <x:c r="G25" s="39" t="str">
        <x:v>Decisor</x:v>
      </x:c>
      <x:c r="H25" s="39" t="str">
        <x:v>Londres</x:v>
      </x:c>
      <x:c r="I25" s="39" t="str">
        <x:v>Health &amp; Bio</x:v>
      </x:c>
      <x:c r="J25" s="39" t="str">
        <x:v>Inception; Seed; Growth</x:v>
      </x:c>
      <x:c r="K25" s="39" t="str"/>
      <x:c r="L25" s="39" t="str"/>
      <x:c r="M25" s="39" t="str"/>
      <x:c r="N25" s="39" t="str"/>
      <x:c r="O25" s="39" t="str">
        <x:v>https://www.speedinvest.com/team</x:v>
      </x:c>
      <x:c r="P25" s="39" t="str">
        <x:v>Relacionar a empresa diretamente com a tese da equipa especialista e o estágio pretendido.</x:v>
      </x:c>
      <x:c r="Q25" s="39" t="str">
        <x:v>A firma organiza investidores por verticais e fase.</x:v>
      </x:c>
      <x:c r="R25" s="39" t="str">
        <x:v>https://www.speedinvest.com/team</x:v>
      </x:c>
      <x:c r="S25" s="44" t="str">
        <x:v>2026-09-09</x:v>
      </x:c>
      <x:c r="T25" s="39" t="str">
        <x:v>Alta</x:v>
      </x:c>
      <x:c r="U25" s="39" t="str">
        <x:v>Base</x:v>
      </x:c>
      <x:c r="V25" s="39" t="str"/>
    </x:row>
    <x:row r="26" ht="40" customHeight="1">
      <x:c r="A26" s="39" t="str">
        <x:v>PER0025</x:v>
      </x:c>
      <x:c r="B26" s="39" t="str">
        <x:v>INV005</x:v>
      </x:c>
      <x:c r="C26" s="39" t="str">
        <x:v>Speedinvest</x:v>
      </x:c>
      <x:c r="D26" s="39" t="str">
        <x:v>Deepali Nangia</x:v>
      </x:c>
      <x:c r="E26" s="39" t="str">
        <x:v>Partner</x:v>
      </x:c>
      <x:c r="F26" s="39" t="str">
        <x:v>Sim</x:v>
      </x:c>
      <x:c r="G26" s="39" t="str">
        <x:v>Decisor</x:v>
      </x:c>
      <x:c r="H26" s="39" t="str">
        <x:v>Londres</x:v>
      </x:c>
      <x:c r="I26" s="39" t="str">
        <x:v>Marketplaces; consumer</x:v>
      </x:c>
      <x:c r="J26" s="39" t="str">
        <x:v>Inception; Seed; Growth</x:v>
      </x:c>
      <x:c r="K26" s="39" t="str"/>
      <x:c r="L26" s="39" t="str"/>
      <x:c r="M26" s="39" t="str"/>
      <x:c r="N26" s="39" t="str"/>
      <x:c r="O26" s="39" t="str">
        <x:v>https://www.speedinvest.com/team</x:v>
      </x:c>
      <x:c r="P26" s="39" t="str">
        <x:v>Relacionar a empresa diretamente com a tese da equipa especialista e o estágio pretendido.</x:v>
      </x:c>
      <x:c r="Q26" s="39" t="str">
        <x:v>A firma organiza investidores por verticais e fase.</x:v>
      </x:c>
      <x:c r="R26" s="39" t="str">
        <x:v>https://www.speedinvest.com/team</x:v>
      </x:c>
      <x:c r="S26" s="44" t="str">
        <x:v>2026-09-09</x:v>
      </x:c>
      <x:c r="T26" s="39" t="str">
        <x:v>Alta</x:v>
      </x:c>
      <x:c r="U26" s="39" t="str">
        <x:v>Base</x:v>
      </x:c>
      <x:c r="V26" s="39" t="str"/>
    </x:row>
    <x:row r="27" ht="40" customHeight="1">
      <x:c r="A27" s="39" t="str">
        <x:v>PER0026</x:v>
      </x:c>
      <x:c r="B27" s="39" t="str">
        <x:v>INV005</x:v>
      </x:c>
      <x:c r="C27" s="39" t="str">
        <x:v>Speedinvest</x:v>
      </x:c>
      <x:c r="D27" s="39" t="str">
        <x:v>Florian Obst</x:v>
      </x:c>
      <x:c r="E27" s="39" t="str">
        <x:v>Partner</x:v>
      </x:c>
      <x:c r="F27" s="39" t="str">
        <x:v>Sim</x:v>
      </x:c>
      <x:c r="G27" s="39" t="str">
        <x:v>Decisor</x:v>
      </x:c>
      <x:c r="H27" s="39" t="str">
        <x:v>Munique</x:v>
      </x:c>
      <x:c r="I27" s="39" t="str">
        <x:v>AI &amp; Infra; SaaS</x:v>
      </x:c>
      <x:c r="J27" s="39" t="str">
        <x:v>Inception; Seed; Growth</x:v>
      </x:c>
      <x:c r="K27" s="39" t="str"/>
      <x:c r="L27" s="39" t="str"/>
      <x:c r="M27" s="39" t="str"/>
      <x:c r="N27" s="39" t="str"/>
      <x:c r="O27" s="39" t="str">
        <x:v>https://www.speedinvest.com/team</x:v>
      </x:c>
      <x:c r="P27" s="39" t="str">
        <x:v>Relacionar a empresa diretamente com a tese da equipa especialista e o estágio pretendido.</x:v>
      </x:c>
      <x:c r="Q27" s="39" t="str">
        <x:v>A firma organiza investidores por verticais e fase.</x:v>
      </x:c>
      <x:c r="R27" s="39" t="str">
        <x:v>https://www.speedinvest.com/team</x:v>
      </x:c>
      <x:c r="S27" s="44" t="str">
        <x:v>2026-09-09</x:v>
      </x:c>
      <x:c r="T27" s="39" t="str">
        <x:v>Alta</x:v>
      </x:c>
      <x:c r="U27" s="39" t="str">
        <x:v>Enriquecido</x:v>
      </x:c>
      <x:c r="V27" s="39" t="str"/>
    </x:row>
    <x:row r="28" ht="40" customHeight="1">
      <x:c r="A28" s="39" t="str">
        <x:v>PER0027</x:v>
      </x:c>
      <x:c r="B28" s="39" t="str">
        <x:v>INV005</x:v>
      </x:c>
      <x:c r="C28" s="39" t="str">
        <x:v>Speedinvest</x:v>
      </x:c>
      <x:c r="D28" s="39" t="str">
        <x:v>Frederik Hagenauer</x:v>
      </x:c>
      <x:c r="E28" s="39" t="str">
        <x:v>Partner</x:v>
      </x:c>
      <x:c r="F28" s="39" t="str">
        <x:v>Sim</x:v>
      </x:c>
      <x:c r="G28" s="39" t="str">
        <x:v>Decisor</x:v>
      </x:c>
      <x:c r="H28" s="39" t="str">
        <x:v>Berlim</x:v>
      </x:c>
      <x:c r="I28" s="39" t="str">
        <x:v>AI &amp; Infra; SaaS</x:v>
      </x:c>
      <x:c r="J28" s="39" t="str">
        <x:v>Inception; Seed; Growth</x:v>
      </x:c>
      <x:c r="K28" s="39" t="str"/>
      <x:c r="L28" s="39" t="str"/>
      <x:c r="M28" s="39" t="str"/>
      <x:c r="N28" s="39" t="str"/>
      <x:c r="O28" s="39" t="str">
        <x:v>https://www.speedinvest.com/team</x:v>
      </x:c>
      <x:c r="P28" s="39" t="str">
        <x:v>Relacionar a empresa diretamente com a tese da equipa especialista e o estágio pretendido.</x:v>
      </x:c>
      <x:c r="Q28" s="39" t="str">
        <x:v>A firma organiza investidores por verticais e fase.</x:v>
      </x:c>
      <x:c r="R28" s="39" t="str">
        <x:v>https://www.speedinvest.com/team</x:v>
      </x:c>
      <x:c r="S28" s="44" t="str">
        <x:v>2026-09-09</x:v>
      </x:c>
      <x:c r="T28" s="39" t="str">
        <x:v>Alta</x:v>
      </x:c>
      <x:c r="U28" s="39" t="str">
        <x:v>Enriquecido</x:v>
      </x:c>
      <x:c r="V28" s="39" t="str"/>
    </x:row>
    <x:row r="29" ht="40" customHeight="1">
      <x:c r="A29" s="39" t="str">
        <x:v>PER0028</x:v>
      </x:c>
      <x:c r="B29" s="39" t="str">
        <x:v>INV005</x:v>
      </x:c>
      <x:c r="C29" s="39" t="str">
        <x:v>Speedinvest</x:v>
      </x:c>
      <x:c r="D29" s="39" t="str">
        <x:v>Jeroen Arts</x:v>
      </x:c>
      <x:c r="E29" s="39" t="str">
        <x:v>Partner</x:v>
      </x:c>
      <x:c r="F29" s="39" t="str">
        <x:v>Sim</x:v>
      </x:c>
      <x:c r="G29" s="39" t="str">
        <x:v>Decisor</x:v>
      </x:c>
      <x:c r="H29" s="39" t="str">
        <x:v>Viena</x:v>
      </x:c>
      <x:c r="I29" s="39" t="str">
        <x:v>Fintech</x:v>
      </x:c>
      <x:c r="J29" s="39" t="str">
        <x:v>Inception; Seed; Growth</x:v>
      </x:c>
      <x:c r="K29" s="39" t="str"/>
      <x:c r="L29" s="39" t="str"/>
      <x:c r="M29" s="39" t="str"/>
      <x:c r="N29" s="39" t="str"/>
      <x:c r="O29" s="39" t="str">
        <x:v>https://www.speedinvest.com/team</x:v>
      </x:c>
      <x:c r="P29" s="39" t="str">
        <x:v>Relacionar a empresa diretamente com a tese da equipa especialista e o estágio pretendido.</x:v>
      </x:c>
      <x:c r="Q29" s="39" t="str">
        <x:v>A firma organiza investidores por verticais e fase.</x:v>
      </x:c>
      <x:c r="R29" s="39" t="str">
        <x:v>https://www.speedinvest.com/team</x:v>
      </x:c>
      <x:c r="S29" s="44" t="str">
        <x:v>2026-09-09</x:v>
      </x:c>
      <x:c r="T29" s="39" t="str">
        <x:v>Alta</x:v>
      </x:c>
      <x:c r="U29" s="39" t="str">
        <x:v>Base</x:v>
      </x:c>
      <x:c r="V29" s="39" t="str"/>
    </x:row>
    <x:row r="30" ht="40" customHeight="1">
      <x:c r="A30" s="39" t="str">
        <x:v>PER0029</x:v>
      </x:c>
      <x:c r="B30" s="39" t="str">
        <x:v>INV005</x:v>
      </x:c>
      <x:c r="C30" s="39" t="str">
        <x:v>Speedinvest</x:v>
      </x:c>
      <x:c r="D30" s="39" t="str">
        <x:v>Rana Abdel Latif</x:v>
      </x:c>
      <x:c r="E30" s="39" t="str">
        <x:v>Partner</x:v>
      </x:c>
      <x:c r="F30" s="39" t="str">
        <x:v>Sim</x:v>
      </x:c>
      <x:c r="G30" s="39" t="str">
        <x:v>Decisor</x:v>
      </x:c>
      <x:c r="H30" s="39" t="str"/>
      <x:c r="I30" s="39" t="str">
        <x:v>Middle East &amp; Africa</x:v>
      </x:c>
      <x:c r="J30" s="39" t="str">
        <x:v>Inception; Seed; Growth</x:v>
      </x:c>
      <x:c r="K30" s="39" t="str"/>
      <x:c r="L30" s="39" t="str"/>
      <x:c r="M30" s="39" t="str"/>
      <x:c r="N30" s="39" t="str"/>
      <x:c r="O30" s="39" t="str">
        <x:v>https://www.speedinvest.com/team</x:v>
      </x:c>
      <x:c r="P30" s="39" t="str">
        <x:v>Relacionar a empresa diretamente com a tese da equipa especialista e o estágio pretendido.</x:v>
      </x:c>
      <x:c r="Q30" s="39" t="str">
        <x:v>A firma organiza investidores por verticais e fase.</x:v>
      </x:c>
      <x:c r="R30" s="39" t="str">
        <x:v>https://www.speedinvest.com/team</x:v>
      </x:c>
      <x:c r="S30" s="44" t="str">
        <x:v>2026-09-09</x:v>
      </x:c>
      <x:c r="T30" s="39" t="str">
        <x:v>Alta</x:v>
      </x:c>
      <x:c r="U30" s="39" t="str">
        <x:v>Base</x:v>
      </x:c>
      <x:c r="V30" s="39" t="str"/>
    </x:row>
    <x:row r="31" ht="40" customHeight="1">
      <x:c r="A31" s="39" t="str">
        <x:v>PER0030</x:v>
      </x:c>
      <x:c r="B31" s="39" t="str">
        <x:v>INV005</x:v>
      </x:c>
      <x:c r="C31" s="39" t="str">
        <x:v>Speedinvest</x:v>
      </x:c>
      <x:c r="D31" s="39" t="str">
        <x:v>Will Wells</x:v>
      </x:c>
      <x:c r="E31" s="39" t="str">
        <x:v>Partner</x:v>
      </x:c>
      <x:c r="F31" s="39" t="str">
        <x:v>Sim</x:v>
      </x:c>
      <x:c r="G31" s="39" t="str">
        <x:v>Decisor</x:v>
      </x:c>
      <x:c r="H31" s="39" t="str">
        <x:v>Londres</x:v>
      </x:c>
      <x:c r="I31" s="39" t="str">
        <x:v>Health &amp; Bio</x:v>
      </x:c>
      <x:c r="J31" s="39" t="str">
        <x:v>Inception; Seed; Growth</x:v>
      </x:c>
      <x:c r="K31" s="39" t="str"/>
      <x:c r="L31" s="39" t="str"/>
      <x:c r="M31" s="39" t="str"/>
      <x:c r="N31" s="39" t="str"/>
      <x:c r="O31" s="39" t="str">
        <x:v>https://www.speedinvest.com/team</x:v>
      </x:c>
      <x:c r="P31" s="39" t="str">
        <x:v>Relacionar a empresa diretamente com a tese da equipa especialista e o estágio pretendido.</x:v>
      </x:c>
      <x:c r="Q31" s="39" t="str">
        <x:v>A firma organiza investidores por verticais e fase.</x:v>
      </x:c>
      <x:c r="R31" s="39" t="str">
        <x:v>https://www.speedinvest.com/team</x:v>
      </x:c>
      <x:c r="S31" s="44" t="str">
        <x:v>2026-09-09</x:v>
      </x:c>
      <x:c r="T31" s="39" t="str">
        <x:v>Alta</x:v>
      </x:c>
      <x:c r="U31" s="39" t="str">
        <x:v>Base</x:v>
      </x:c>
      <x:c r="V31" s="39" t="str"/>
    </x:row>
    <x:row r="32" ht="40" customHeight="1">
      <x:c r="A32" s="39" t="str">
        <x:v>PER0031</x:v>
      </x:c>
      <x:c r="B32" s="39" t="str">
        <x:v>INV006</x:v>
      </x:c>
      <x:c r="C32" s="39" t="str">
        <x:v>Index Ventures</x:v>
      </x:c>
      <x:c r="D32" s="39" t="str">
        <x:v>Danny Rimer</x:v>
      </x:c>
      <x:c r="E32" s="39" t="str">
        <x:v>Partner</x:v>
      </x:c>
      <x:c r="F32" s="39" t="str">
        <x:v>Sim</x:v>
      </x:c>
      <x:c r="G32" s="39" t="str">
        <x:v>Decisor</x:v>
      </x:c>
      <x:c r="H32" s="39" t="str">
        <x:v>Londres / São Francisco</x:v>
      </x:c>
      <x:c r="I32" s="39" t="str">
        <x:v>Consumer; software</x:v>
      </x:c>
      <x:c r="J32" s="39" t="str">
        <x:v>Seed; Venture; Growth</x:v>
      </x:c>
      <x:c r="K32" s="39" t="str"/>
      <x:c r="L32" s="39" t="str"/>
      <x:c r="M32" s="39" t="str"/>
      <x:c r="N32" s="39" t="str"/>
      <x:c r="O32" s="39" t="str">
        <x:v>https://www.indexventures.com/team/</x:v>
      </x:c>
      <x:c r="P32" s="39" t="str">
        <x:v>Mapear o problema ao domínio do partner e provar por que a empresa pode definir uma categoria.</x:v>
      </x:c>
      <x:c r="Q32" s="39" t="str">
        <x:v>Index organiza-se por domínio e acompanha empresas em vários estágios.</x:v>
      </x:c>
      <x:c r="R32" s="39" t="str">
        <x:v>https://www.indexventures.com/team/</x:v>
      </x:c>
      <x:c r="S32" s="44" t="str">
        <x:v>2026-09-09</x:v>
      </x:c>
      <x:c r="T32" s="39" t="str">
        <x:v>Média</x:v>
      </x:c>
      <x:c r="U32" s="39" t="str">
        <x:v>Base</x:v>
      </x:c>
      <x:c r="V32" s="39" t="str"/>
    </x:row>
    <x:row r="33" ht="40" customHeight="1">
      <x:c r="A33" s="39" t="str">
        <x:v>PER0032</x:v>
      </x:c>
      <x:c r="B33" s="39" t="str">
        <x:v>INV006</x:v>
      </x:c>
      <x:c r="C33" s="39" t="str">
        <x:v>Index Ventures</x:v>
      </x:c>
      <x:c r="D33" s="39" t="str">
        <x:v>Jan Hammer</x:v>
      </x:c>
      <x:c r="E33" s="39" t="str">
        <x:v>Partner</x:v>
      </x:c>
      <x:c r="F33" s="39" t="str">
        <x:v>Sim</x:v>
      </x:c>
      <x:c r="G33" s="39" t="str">
        <x:v>Decisor</x:v>
      </x:c>
      <x:c r="H33" s="39" t="str">
        <x:v>Londres</x:v>
      </x:c>
      <x:c r="I33" s="39" t="str">
        <x:v>Fintech; software</x:v>
      </x:c>
      <x:c r="J33" s="39" t="str">
        <x:v>Seed; Venture; Growth</x:v>
      </x:c>
      <x:c r="K33" s="39" t="str"/>
      <x:c r="L33" s="39" t="str"/>
      <x:c r="M33" s="39" t="str"/>
      <x:c r="N33" s="39" t="str"/>
      <x:c r="O33" s="39" t="str">
        <x:v>https://www.indexventures.com/team/</x:v>
      </x:c>
      <x:c r="P33" s="39" t="str">
        <x:v>Mapear o problema ao domínio do partner e provar por que a empresa pode definir uma categoria.</x:v>
      </x:c>
      <x:c r="Q33" s="39" t="str">
        <x:v>Index organiza-se por domínio e acompanha empresas em vários estágios.</x:v>
      </x:c>
      <x:c r="R33" s="39" t="str">
        <x:v>https://www.indexventures.com/team/</x:v>
      </x:c>
      <x:c r="S33" s="44" t="str">
        <x:v>2026-09-09</x:v>
      </x:c>
      <x:c r="T33" s="39" t="str">
        <x:v>Média</x:v>
      </x:c>
      <x:c r="U33" s="39" t="str">
        <x:v>Base</x:v>
      </x:c>
      <x:c r="V33" s="39" t="str"/>
    </x:row>
    <x:row r="34" ht="40" customHeight="1">
      <x:c r="A34" s="39" t="str">
        <x:v>PER0033</x:v>
      </x:c>
      <x:c r="B34" s="39" t="str">
        <x:v>INV006</x:v>
      </x:c>
      <x:c r="C34" s="39" t="str">
        <x:v>Index Ventures</x:v>
      </x:c>
      <x:c r="D34" s="39" t="str">
        <x:v>Martin Mignot</x:v>
      </x:c>
      <x:c r="E34" s="39" t="str">
        <x:v>Partner</x:v>
      </x:c>
      <x:c r="F34" s="39" t="str">
        <x:v>Sim</x:v>
      </x:c>
      <x:c r="G34" s="39" t="str">
        <x:v>Decisor</x:v>
      </x:c>
      <x:c r="H34" s="39" t="str">
        <x:v>Londres</x:v>
      </x:c>
      <x:c r="I34" s="39" t="str">
        <x:v>Fintech; consumer; marketplaces</x:v>
      </x:c>
      <x:c r="J34" s="39" t="str">
        <x:v>Seed; Venture; Growth</x:v>
      </x:c>
      <x:c r="K34" s="39" t="str"/>
      <x:c r="L34" s="39" t="str"/>
      <x:c r="M34" s="39" t="str"/>
      <x:c r="N34" s="39" t="str"/>
      <x:c r="O34" s="39" t="str">
        <x:v>https://www.indexventures.com/team/</x:v>
      </x:c>
      <x:c r="P34" s="39" t="str">
        <x:v>Mapear o problema ao domínio do partner e provar por que a empresa pode definir uma categoria.</x:v>
      </x:c>
      <x:c r="Q34" s="39" t="str">
        <x:v>Index organiza-se por domínio e acompanha empresas em vários estágios.</x:v>
      </x:c>
      <x:c r="R34" s="39" t="str">
        <x:v>https://www.indexventures.com/team/</x:v>
      </x:c>
      <x:c r="S34" s="44" t="str">
        <x:v>2026-09-09</x:v>
      </x:c>
      <x:c r="T34" s="39" t="str">
        <x:v>Média</x:v>
      </x:c>
      <x:c r="U34" s="39" t="str">
        <x:v>Base</x:v>
      </x:c>
      <x:c r="V34" s="39" t="str"/>
    </x:row>
    <x:row r="35" ht="40" customHeight="1">
      <x:c r="A35" s="39" t="str">
        <x:v>PER0034</x:v>
      </x:c>
      <x:c r="B35" s="39" t="str">
        <x:v>INV006</x:v>
      </x:c>
      <x:c r="C35" s="39" t="str">
        <x:v>Index Ventures</x:v>
      </x:c>
      <x:c r="D35" s="39" t="str">
        <x:v>Shardul Shah</x:v>
      </x:c>
      <x:c r="E35" s="39" t="str">
        <x:v>Partner</x:v>
      </x:c>
      <x:c r="F35" s="39" t="str">
        <x:v>Sim</x:v>
      </x:c>
      <x:c r="G35" s="39" t="str">
        <x:v>Decisor</x:v>
      </x:c>
      <x:c r="H35" s="39" t="str">
        <x:v>Nova Iorque</x:v>
      </x:c>
      <x:c r="I35" s="39" t="str">
        <x:v>Cybersecurity; AI; enterprise; infrastructure</x:v>
      </x:c>
      <x:c r="J35" s="39" t="str">
        <x:v>Seed; Venture; Growth</x:v>
      </x:c>
      <x:c r="K35" s="39" t="str"/>
      <x:c r="L35" s="39" t="str"/>
      <x:c r="M35" s="39" t="str"/>
      <x:c r="N35" s="39" t="str"/>
      <x:c r="O35" s="39" t="str">
        <x:v>https://www.indexventures.com/team/</x:v>
      </x:c>
      <x:c r="P35" s="39" t="str">
        <x:v>Mapear o problema ao domínio do partner e provar por que a empresa pode definir uma categoria.</x:v>
      </x:c>
      <x:c r="Q35" s="39" t="str">
        <x:v>Index organiza-se por domínio e acompanha empresas em vários estágios.</x:v>
      </x:c>
      <x:c r="R35" s="39" t="str">
        <x:v>https://www.indexventures.com/team/</x:v>
      </x:c>
      <x:c r="S35" s="44" t="str">
        <x:v>2026-09-09</x:v>
      </x:c>
      <x:c r="T35" s="39" t="str">
        <x:v>Média</x:v>
      </x:c>
      <x:c r="U35" s="39" t="str">
        <x:v>Enriquecido</x:v>
      </x:c>
      <x:c r="V35" s="39" t="str"/>
    </x:row>
    <x:row r="36" ht="40" customHeight="1">
      <x:c r="A36" s="39" t="str">
        <x:v>PER0035</x:v>
      </x:c>
      <x:c r="B36" s="39" t="str">
        <x:v>INV006</x:v>
      </x:c>
      <x:c r="C36" s="39" t="str">
        <x:v>Index Ventures</x:v>
      </x:c>
      <x:c r="D36" s="39" t="str">
        <x:v>Hannah Seal</x:v>
      </x:c>
      <x:c r="E36" s="39" t="str">
        <x:v>Partner</x:v>
      </x:c>
      <x:c r="F36" s="39" t="str">
        <x:v>Sim</x:v>
      </x:c>
      <x:c r="G36" s="39" t="str">
        <x:v>Decisor</x:v>
      </x:c>
      <x:c r="H36" s="39" t="str">
        <x:v>Londres</x:v>
      </x:c>
      <x:c r="I36" s="39" t="str">
        <x:v>Enterprise; fintech</x:v>
      </x:c>
      <x:c r="J36" s="39" t="str">
        <x:v>Seed; Venture; Growth</x:v>
      </x:c>
      <x:c r="K36" s="39" t="str"/>
      <x:c r="L36" s="39" t="str"/>
      <x:c r="M36" s="39" t="str"/>
      <x:c r="N36" s="39" t="str"/>
      <x:c r="O36" s="39" t="str">
        <x:v>https://www.indexventures.com/team/</x:v>
      </x:c>
      <x:c r="P36" s="39" t="str">
        <x:v>Mapear o problema ao domínio do partner e provar por que a empresa pode definir uma categoria.</x:v>
      </x:c>
      <x:c r="Q36" s="39" t="str">
        <x:v>Index organiza-se por domínio e acompanha empresas em vários estágios.</x:v>
      </x:c>
      <x:c r="R36" s="39" t="str">
        <x:v>https://www.indexventures.com/team/</x:v>
      </x:c>
      <x:c r="S36" s="44" t="str">
        <x:v>2026-09-09</x:v>
      </x:c>
      <x:c r="T36" s="39" t="str">
        <x:v>Média</x:v>
      </x:c>
      <x:c r="U36" s="39" t="str">
        <x:v>Base</x:v>
      </x:c>
      <x:c r="V36" s="39" t="str"/>
    </x:row>
    <x:row r="37" ht="40" customHeight="1">
      <x:c r="A37" s="39" t="str">
        <x:v>PER0036</x:v>
      </x:c>
      <x:c r="B37" s="39" t="str">
        <x:v>INV006</x:v>
      </x:c>
      <x:c r="C37" s="39" t="str">
        <x:v>Index Ventures</x:v>
      </x:c>
      <x:c r="D37" s="39" t="str">
        <x:v>Stephane Kurgan</x:v>
      </x:c>
      <x:c r="E37" s="39" t="str">
        <x:v>Partner</x:v>
      </x:c>
      <x:c r="F37" s="39" t="str">
        <x:v>Sim</x:v>
      </x:c>
      <x:c r="G37" s="39" t="str">
        <x:v>Decisor</x:v>
      </x:c>
      <x:c r="H37" s="39" t="str">
        <x:v>Londres</x:v>
      </x:c>
      <x:c r="I37" s="39" t="str">
        <x:v>Gaming; consumer</x:v>
      </x:c>
      <x:c r="J37" s="39" t="str">
        <x:v>Seed; Venture; Growth</x:v>
      </x:c>
      <x:c r="K37" s="39" t="str"/>
      <x:c r="L37" s="39" t="str"/>
      <x:c r="M37" s="39" t="str"/>
      <x:c r="N37" s="39" t="str"/>
      <x:c r="O37" s="39" t="str">
        <x:v>https://www.indexventures.com/team/</x:v>
      </x:c>
      <x:c r="P37" s="39" t="str">
        <x:v>Mapear o problema ao domínio do partner e provar por que a empresa pode definir uma categoria.</x:v>
      </x:c>
      <x:c r="Q37" s="39" t="str">
        <x:v>Index organiza-se por domínio e acompanha empresas em vários estágios.</x:v>
      </x:c>
      <x:c r="R37" s="39" t="str">
        <x:v>https://www.indexventures.com/team/</x:v>
      </x:c>
      <x:c r="S37" s="44" t="str">
        <x:v>2026-09-09</x:v>
      </x:c>
      <x:c r="T37" s="39" t="str">
        <x:v>Média</x:v>
      </x:c>
      <x:c r="U37" s="39" t="str">
        <x:v>Base</x:v>
      </x:c>
      <x:c r="V37" s="39" t="str"/>
    </x:row>
    <x:row r="38" ht="40" customHeight="1">
      <x:c r="A38" s="39" t="str">
        <x:v>PER0037</x:v>
      </x:c>
      <x:c r="B38" s="39" t="str">
        <x:v>INV006</x:v>
      </x:c>
      <x:c r="C38" s="39" t="str">
        <x:v>Index Ventures</x:v>
      </x:c>
      <x:c r="D38" s="39" t="str">
        <x:v>Carlos Gonzalez-Cadenas</x:v>
      </x:c>
      <x:c r="E38" s="39" t="str">
        <x:v>Partner</x:v>
      </x:c>
      <x:c r="F38" s="39" t="str">
        <x:v>Sim</x:v>
      </x:c>
      <x:c r="G38" s="39" t="str">
        <x:v>Decisor</x:v>
      </x:c>
      <x:c r="H38" s="39" t="str">
        <x:v>Londres</x:v>
      </x:c>
      <x:c r="I38" s="39" t="str">
        <x:v>AI; enterprise</x:v>
      </x:c>
      <x:c r="J38" s="39" t="str">
        <x:v>Seed; Venture; Growth</x:v>
      </x:c>
      <x:c r="K38" s="39" t="str"/>
      <x:c r="L38" s="39" t="str"/>
      <x:c r="M38" s="39" t="str"/>
      <x:c r="N38" s="39" t="str"/>
      <x:c r="O38" s="39" t="str">
        <x:v>https://www.indexventures.com/team/</x:v>
      </x:c>
      <x:c r="P38" s="39" t="str">
        <x:v>Mapear o problema ao domínio do partner e provar por que a empresa pode definir uma categoria.</x:v>
      </x:c>
      <x:c r="Q38" s="39" t="str">
        <x:v>Index organiza-se por domínio e acompanha empresas em vários estágios.</x:v>
      </x:c>
      <x:c r="R38" s="39" t="str">
        <x:v>https://www.indexventures.com/team/</x:v>
      </x:c>
      <x:c r="S38" s="44" t="str">
        <x:v>2026-09-09</x:v>
      </x:c>
      <x:c r="T38" s="39" t="str">
        <x:v>Média</x:v>
      </x:c>
      <x:c r="U38" s="39" t="str">
        <x:v>Base</x:v>
      </x:c>
      <x:c r="V38" s="39" t="str"/>
    </x:row>
    <x:row r="39" ht="40" customHeight="1">
      <x:c r="A39" s="39" t="str">
        <x:v>PER0038</x:v>
      </x:c>
      <x:c r="B39" s="39" t="str">
        <x:v>INV006</x:v>
      </x:c>
      <x:c r="C39" s="39" t="str">
        <x:v>Index Ventures</x:v>
      </x:c>
      <x:c r="D39" s="39" t="str">
        <x:v>Sofia Dolfe</x:v>
      </x:c>
      <x:c r="E39" s="39" t="str">
        <x:v>Partner</x:v>
      </x:c>
      <x:c r="F39" s="39" t="str">
        <x:v>Sim</x:v>
      </x:c>
      <x:c r="G39" s="39" t="str">
        <x:v>Decisor</x:v>
      </x:c>
      <x:c r="H39" s="39" t="str">
        <x:v>Londres</x:v>
      </x:c>
      <x:c r="I39" s="39" t="str">
        <x:v>AI; enterprise</x:v>
      </x:c>
      <x:c r="J39" s="39" t="str">
        <x:v>Seed; Venture; Growth</x:v>
      </x:c>
      <x:c r="K39" s="39" t="str"/>
      <x:c r="L39" s="39" t="str"/>
      <x:c r="M39" s="39" t="str"/>
      <x:c r="N39" s="39" t="str"/>
      <x:c r="O39" s="39" t="str">
        <x:v>https://www.indexventures.com/team/</x:v>
      </x:c>
      <x:c r="P39" s="39" t="str">
        <x:v>Mapear o problema ao domínio do partner e provar por que a empresa pode definir uma categoria.</x:v>
      </x:c>
      <x:c r="Q39" s="39" t="str">
        <x:v>Index organiza-se por domínio e acompanha empresas em vários estágios.</x:v>
      </x:c>
      <x:c r="R39" s="39" t="str">
        <x:v>https://www.indexventures.com/team/</x:v>
      </x:c>
      <x:c r="S39" s="44" t="str">
        <x:v>2026-09-09</x:v>
      </x:c>
      <x:c r="T39" s="39" t="str">
        <x:v>Média</x:v>
      </x:c>
      <x:c r="U39" s="39" t="str">
        <x:v>Base</x:v>
      </x:c>
      <x:c r="V39" s="39" t="str"/>
    </x:row>
    <x:row r="40" ht="40" customHeight="1">
      <x:c r="A40" s="39" t="str">
        <x:v>PER0039</x:v>
      </x:c>
      <x:c r="B40" s="39" t="str">
        <x:v>INV006</x:v>
      </x:c>
      <x:c r="C40" s="39" t="str">
        <x:v>Index Ventures</x:v>
      </x:c>
      <x:c r="D40" s="39" t="str">
        <x:v>Nina Achadjian</x:v>
      </x:c>
      <x:c r="E40" s="39" t="str">
        <x:v>Partner</x:v>
      </x:c>
      <x:c r="F40" s="39" t="str">
        <x:v>Sim</x:v>
      </x:c>
      <x:c r="G40" s="39" t="str">
        <x:v>Decisor</x:v>
      </x:c>
      <x:c r="H40" s="39" t="str">
        <x:v>São Francisco</x:v>
      </x:c>
      <x:c r="I40" s="39" t="str">
        <x:v>Enterprise; AI; vertical software</x:v>
      </x:c>
      <x:c r="J40" s="39" t="str">
        <x:v>Seed; Venture; Growth</x:v>
      </x:c>
      <x:c r="K40" s="39" t="str"/>
      <x:c r="L40" s="39" t="str"/>
      <x:c r="M40" s="39" t="str"/>
      <x:c r="N40" s="39" t="str"/>
      <x:c r="O40" s="39" t="str">
        <x:v>https://www.indexventures.com/team/</x:v>
      </x:c>
      <x:c r="P40" s="39" t="str">
        <x:v>Mapear o problema ao domínio do partner e provar por que a empresa pode definir uma categoria.</x:v>
      </x:c>
      <x:c r="Q40" s="39" t="str">
        <x:v>Index organiza-se por domínio e acompanha empresas em vários estágios.</x:v>
      </x:c>
      <x:c r="R40" s="39" t="str">
        <x:v>https://www.indexventures.com/team/</x:v>
      </x:c>
      <x:c r="S40" s="44" t="str">
        <x:v>2026-09-09</x:v>
      </x:c>
      <x:c r="T40" s="39" t="str">
        <x:v>Média</x:v>
      </x:c>
      <x:c r="U40" s="39" t="str">
        <x:v>Base</x:v>
      </x:c>
      <x:c r="V40" s="39" t="str"/>
    </x:row>
    <x:row r="41" ht="40" customHeight="1">
      <x:c r="A41" s="39" t="str">
        <x:v>PER0040</x:v>
      </x:c>
      <x:c r="B41" s="39" t="str">
        <x:v>INV006</x:v>
      </x:c>
      <x:c r="C41" s="39" t="str">
        <x:v>Index Ventures</x:v>
      </x:c>
      <x:c r="D41" s="39" t="str">
        <x:v>Jahanvi Sardana</x:v>
      </x:c>
      <x:c r="E41" s="39" t="str">
        <x:v>Partner</x:v>
      </x:c>
      <x:c r="F41" s="39" t="str">
        <x:v>Sim</x:v>
      </x:c>
      <x:c r="G41" s="39" t="str">
        <x:v>Decisor</x:v>
      </x:c>
      <x:c r="H41" s="39" t="str">
        <x:v>Nova Iorque</x:v>
      </x:c>
      <x:c r="I41" s="39" t="str">
        <x:v>Fintech; infrastructure</x:v>
      </x:c>
      <x:c r="J41" s="39" t="str">
        <x:v>Seed; Venture; Growth</x:v>
      </x:c>
      <x:c r="K41" s="39" t="str"/>
      <x:c r="L41" s="39" t="str"/>
      <x:c r="M41" s="39" t="str"/>
      <x:c r="N41" s="39" t="str"/>
      <x:c r="O41" s="39" t="str">
        <x:v>https://www.indexventures.com/team/</x:v>
      </x:c>
      <x:c r="P41" s="39" t="str">
        <x:v>Mapear o problema ao domínio do partner e provar por que a empresa pode definir uma categoria.</x:v>
      </x:c>
      <x:c r="Q41" s="39" t="str">
        <x:v>Index organiza-se por domínio e acompanha empresas em vários estágios.</x:v>
      </x:c>
      <x:c r="R41" s="39" t="str">
        <x:v>https://www.indexventures.com/team/</x:v>
      </x:c>
      <x:c r="S41" s="44" t="str">
        <x:v>2026-09-09</x:v>
      </x:c>
      <x:c r="T41" s="39" t="str">
        <x:v>Média</x:v>
      </x:c>
      <x:c r="U41" s="39" t="str">
        <x:v>Base</x:v>
      </x:c>
      <x:c r="V41" s="39" t="str"/>
    </x:row>
    <x:row r="42" ht="40" customHeight="1">
      <x:c r="A42" s="39" t="str">
        <x:v>PER0041</x:v>
      </x:c>
      <x:c r="B42" s="39" t="str">
        <x:v>INV006</x:v>
      </x:c>
      <x:c r="C42" s="39" t="str">
        <x:v>Index Ventures</x:v>
      </x:c>
      <x:c r="D42" s="39" t="str">
        <x:v>Simon Cunningham</x:v>
      </x:c>
      <x:c r="E42" s="39" t="str">
        <x:v>Investor</x:v>
      </x:c>
      <x:c r="F42" s="39" t="str">
        <x:v>Rever</x:v>
      </x:c>
      <x:c r="G42" s="39" t="str">
        <x:v>Equipa de investimento</x:v>
      </x:c>
      <x:c r="H42" s="39" t="str">
        <x:v>Londres</x:v>
      </x:c>
      <x:c r="I42" s="39" t="str">
        <x:v>Technology</x:v>
      </x:c>
      <x:c r="J42" s="39" t="str">
        <x:v>Seed; Venture; Growth</x:v>
      </x:c>
      <x:c r="K42" s="39" t="str"/>
      <x:c r="L42" s="39" t="str"/>
      <x:c r="M42" s="39" t="str"/>
      <x:c r="N42" s="39" t="str"/>
      <x:c r="O42" s="39" t="str">
        <x:v>https://www.indexventures.com/team/</x:v>
      </x:c>
      <x:c r="P42" s="39" t="str">
        <x:v>Mapear o problema ao domínio do partner e provar por que a empresa pode definir uma categoria.</x:v>
      </x:c>
      <x:c r="Q42" s="39" t="str">
        <x:v>Index organiza-se por domínio e acompanha empresas em vários estágios.</x:v>
      </x:c>
      <x:c r="R42" s="39" t="str">
        <x:v>https://www.indexventures.com/team/</x:v>
      </x:c>
      <x:c r="S42" s="44" t="str">
        <x:v>2026-09-09</x:v>
      </x:c>
      <x:c r="T42" s="39" t="str">
        <x:v>Média</x:v>
      </x:c>
      <x:c r="U42" s="39" t="str">
        <x:v>Base</x:v>
      </x:c>
      <x:c r="V42" s="39" t="str"/>
    </x:row>
    <x:row r="43" ht="40" customHeight="1">
      <x:c r="A43" s="39" t="str">
        <x:v>PER0042</x:v>
      </x:c>
      <x:c r="B43" s="39" t="str">
        <x:v>INV006</x:v>
      </x:c>
      <x:c r="C43" s="39" t="str">
        <x:v>Index Ventures</x:v>
      </x:c>
      <x:c r="D43" s="39" t="str">
        <x:v>Julia Andre</x:v>
      </x:c>
      <x:c r="E43" s="39" t="str">
        <x:v>Investor</x:v>
      </x:c>
      <x:c r="F43" s="39" t="str">
        <x:v>Rever</x:v>
      </x:c>
      <x:c r="G43" s="39" t="str">
        <x:v>Equipa de investimento</x:v>
      </x:c>
      <x:c r="H43" s="39" t="str">
        <x:v>Londres</x:v>
      </x:c>
      <x:c r="I43" s="39" t="str">
        <x:v>AI; European tech</x:v>
      </x:c>
      <x:c r="J43" s="39" t="str">
        <x:v>Seed; Venture; Growth</x:v>
      </x:c>
      <x:c r="K43" s="39" t="str"/>
      <x:c r="L43" s="39" t="str"/>
      <x:c r="M43" s="39" t="str"/>
      <x:c r="N43" s="39" t="str"/>
      <x:c r="O43" s="39" t="str">
        <x:v>https://www.indexventures.com/team/</x:v>
      </x:c>
      <x:c r="P43" s="39" t="str">
        <x:v>Mapear o problema ao domínio do partner e provar por que a empresa pode definir uma categoria.</x:v>
      </x:c>
      <x:c r="Q43" s="39" t="str">
        <x:v>Index organiza-se por domínio e acompanha empresas em vários estágios.</x:v>
      </x:c>
      <x:c r="R43" s="39" t="str">
        <x:v>https://www.indexventures.com/team/</x:v>
      </x:c>
      <x:c r="S43" s="44" t="str">
        <x:v>2026-09-09</x:v>
      </x:c>
      <x:c r="T43" s="39" t="str">
        <x:v>Média</x:v>
      </x:c>
      <x:c r="U43" s="39" t="str">
        <x:v>Base</x:v>
      </x:c>
      <x:c r="V43" s="39" t="str"/>
    </x:row>
    <x:row r="44" ht="40" customHeight="1">
      <x:c r="A44" s="39" t="str">
        <x:v>PER0043</x:v>
      </x:c>
      <x:c r="B44" s="39" t="str">
        <x:v>INV007</x:v>
      </x:c>
      <x:c r="C44" s="39" t="str">
        <x:v>Atomico</x:v>
      </x:c>
      <x:c r="D44" s="39" t="str">
        <x:v>Niklas Zennström</x:v>
      </x:c>
      <x:c r="E44" s="39" t="str">
        <x:v>CEO &amp; Founding Partner</x:v>
      </x:c>
      <x:c r="F44" s="39" t="str">
        <x:v>Sim</x:v>
      </x:c>
      <x:c r="G44" s="39" t="str">
        <x:v>Decisor</x:v>
      </x:c>
      <x:c r="H44" s="39" t="str">
        <x:v>Londres</x:v>
      </x:c>
      <x:c r="I44" s="39" t="str">
        <x:v>European tech; deeptech; scale</x:v>
      </x:c>
      <x:c r="J44" s="39" t="str">
        <x:v>Inception to IPO</x:v>
      </x:c>
      <x:c r="K44" s="39" t="str"/>
      <x:c r="L44" s="39" t="str"/>
      <x:c r="M44" s="39" t="str"/>
      <x:c r="N44" s="39" t="str"/>
      <x:c r="O44" s="39" t="str">
        <x:v>https://20.atomico.com/</x:v>
      </x:c>
      <x:c r="P44" s="39" t="str">
        <x:v>Ligar a abordagem à construção de uma empresa tecnológica global a partir da Europa.</x:v>
      </x:c>
      <x:c r="Q44" s="39" t="str">
        <x:v>Missão pública da Atomico e função na equipa.</x:v>
      </x:c>
      <x:c r="R44" s="39" t="str">
        <x:v>https://20.atomico.com/</x:v>
      </x:c>
      <x:c r="S44" s="44" t="str">
        <x:v>2026-09-09</x:v>
      </x:c>
      <x:c r="T44" s="39" t="str">
        <x:v>Média</x:v>
      </x:c>
      <x:c r="U44" s="39" t="str">
        <x:v>Enriquecido</x:v>
      </x:c>
      <x:c r="V44" s="39" t="str"/>
    </x:row>
    <x:row r="45" ht="40" customHeight="1">
      <x:c r="A45" s="39" t="str">
        <x:v>PER0044</x:v>
      </x:c>
      <x:c r="B45" s="39" t="str">
        <x:v>INV007</x:v>
      </x:c>
      <x:c r="C45" s="39" t="str">
        <x:v>Atomico</x:v>
      </x:c>
      <x:c r="D45" s="39" t="str">
        <x:v>Ben Blume</x:v>
      </x:c>
      <x:c r="E45" s="39" t="str">
        <x:v>Investment Partner</x:v>
      </x:c>
      <x:c r="F45" s="39" t="str">
        <x:v>Sim</x:v>
      </x:c>
      <x:c r="G45" s="39" t="str">
        <x:v>Decisor</x:v>
      </x:c>
      <x:c r="H45" s="39" t="str">
        <x:v>Londres</x:v>
      </x:c>
      <x:c r="I45" s="39" t="str">
        <x:v>AI; enterprise automation; physical industries</x:v>
      </x:c>
      <x:c r="J45" s="39" t="str">
        <x:v>Inception to IPO</x:v>
      </x:c>
      <x:c r="K45" s="39" t="str"/>
      <x:c r="L45" s="39" t="str"/>
      <x:c r="M45" s="39" t="str"/>
      <x:c r="N45" s="39" t="str"/>
      <x:c r="O45" s="39" t="str">
        <x:v>https://20.atomico.com/</x:v>
      </x:c>
      <x:c r="P45" s="39" t="str">
        <x:v>Ligar a abordagem à construção de uma empresa tecnológica global a partir da Europa.</x:v>
      </x:c>
      <x:c r="Q45" s="39" t="str">
        <x:v>Missão pública da Atomico e função na equipa.</x:v>
      </x:c>
      <x:c r="R45" s="39" t="str">
        <x:v>https://20.atomico.com/</x:v>
      </x:c>
      <x:c r="S45" s="44" t="str">
        <x:v>2026-09-09</x:v>
      </x:c>
      <x:c r="T45" s="39" t="str">
        <x:v>Média</x:v>
      </x:c>
      <x:c r="U45" s="39" t="str">
        <x:v>Enriquecido</x:v>
      </x:c>
      <x:c r="V45" s="39" t="str"/>
    </x:row>
    <x:row r="46" ht="40" customHeight="1">
      <x:c r="A46" s="39" t="str">
        <x:v>PER0045</x:v>
      </x:c>
      <x:c r="B46" s="39" t="str">
        <x:v>INV007</x:v>
      </x:c>
      <x:c r="C46" s="39" t="str">
        <x:v>Atomico</x:v>
      </x:c>
      <x:c r="D46" s="39" t="str">
        <x:v>Laura Connell</x:v>
      </x:c>
      <x:c r="E46" s="39" t="str">
        <x:v>Partner</x:v>
      </x:c>
      <x:c r="F46" s="39" t="str">
        <x:v>Sim</x:v>
      </x:c>
      <x:c r="G46" s="39" t="str">
        <x:v>Decisor</x:v>
      </x:c>
      <x:c r="H46" s="39" t="str">
        <x:v>Londres</x:v>
      </x:c>
      <x:c r="I46" s="39" t="str">
        <x:v>Consumer; health; climate</x:v>
      </x:c>
      <x:c r="J46" s="39" t="str">
        <x:v>Inception to IPO</x:v>
      </x:c>
      <x:c r="K46" s="39" t="str"/>
      <x:c r="L46" s="39" t="str"/>
      <x:c r="M46" s="39" t="str"/>
      <x:c r="N46" s="39" t="str"/>
      <x:c r="O46" s="39" t="str">
        <x:v>https://20.atomico.com/</x:v>
      </x:c>
      <x:c r="P46" s="39" t="str">
        <x:v>Ligar a abordagem à construção de uma empresa tecnológica global a partir da Europa.</x:v>
      </x:c>
      <x:c r="Q46" s="39" t="str">
        <x:v>Missão pública da Atomico e função na equipa.</x:v>
      </x:c>
      <x:c r="R46" s="39" t="str">
        <x:v>https://20.atomico.com/</x:v>
      </x:c>
      <x:c r="S46" s="44" t="str">
        <x:v>2026-09-09</x:v>
      </x:c>
      <x:c r="T46" s="39" t="str">
        <x:v>Média</x:v>
      </x:c>
      <x:c r="U46" s="39" t="str">
        <x:v>Base</x:v>
      </x:c>
      <x:c r="V46" s="39" t="str"/>
    </x:row>
    <x:row r="47" ht="40" customHeight="1">
      <x:c r="A47" s="39" t="str">
        <x:v>PER0046</x:v>
      </x:c>
      <x:c r="B47" s="39" t="str">
        <x:v>INV007</x:v>
      </x:c>
      <x:c r="C47" s="39" t="str">
        <x:v>Atomico</x:v>
      </x:c>
      <x:c r="D47" s="39" t="str">
        <x:v>Sasha Vidiborskiy</x:v>
      </x:c>
      <x:c r="E47" s="39" t="str">
        <x:v>Partner</x:v>
      </x:c>
      <x:c r="F47" s="39" t="str">
        <x:v>Sim</x:v>
      </x:c>
      <x:c r="G47" s="39" t="str">
        <x:v>Decisor</x:v>
      </x:c>
      <x:c r="H47" s="39" t="str">
        <x:v>Londres</x:v>
      </x:c>
      <x:c r="I47" s="39" t="str">
        <x:v>Enterprise; fintech</x:v>
      </x:c>
      <x:c r="J47" s="39" t="str">
        <x:v>Inception to IPO</x:v>
      </x:c>
      <x:c r="K47" s="39" t="str"/>
      <x:c r="L47" s="39" t="str"/>
      <x:c r="M47" s="39" t="str"/>
      <x:c r="N47" s="39" t="str"/>
      <x:c r="O47" s="39" t="str">
        <x:v>https://20.atomico.com/</x:v>
      </x:c>
      <x:c r="P47" s="39" t="str">
        <x:v>Ligar a abordagem à construção de uma empresa tecnológica global a partir da Europa.</x:v>
      </x:c>
      <x:c r="Q47" s="39" t="str">
        <x:v>Missão pública da Atomico e função na equipa.</x:v>
      </x:c>
      <x:c r="R47" s="39" t="str">
        <x:v>https://20.atomico.com/</x:v>
      </x:c>
      <x:c r="S47" s="44" t="str">
        <x:v>2026-09-09</x:v>
      </x:c>
      <x:c r="T47" s="39" t="str">
        <x:v>Média</x:v>
      </x:c>
      <x:c r="U47" s="39" t="str">
        <x:v>Base</x:v>
      </x:c>
      <x:c r="V47" s="39" t="str"/>
    </x:row>
    <x:row r="48" ht="40" customHeight="1">
      <x:c r="A48" s="39" t="str">
        <x:v>PER0047</x:v>
      </x:c>
      <x:c r="B48" s="39" t="str">
        <x:v>INV007</x:v>
      </x:c>
      <x:c r="C48" s="39" t="str">
        <x:v>Atomico</x:v>
      </x:c>
      <x:c r="D48" s="39" t="str">
        <x:v>Hillary Ball</x:v>
      </x:c>
      <x:c r="E48" s="39" t="str">
        <x:v>Partner</x:v>
      </x:c>
      <x:c r="F48" s="39" t="str">
        <x:v>Sim</x:v>
      </x:c>
      <x:c r="G48" s="39" t="str">
        <x:v>Decisor</x:v>
      </x:c>
      <x:c r="H48" s="39" t="str">
        <x:v>Londres</x:v>
      </x:c>
      <x:c r="I48" s="39" t="str">
        <x:v>Venture to growth</x:v>
      </x:c>
      <x:c r="J48" s="39" t="str">
        <x:v>Inception to IPO</x:v>
      </x:c>
      <x:c r="K48" s="39" t="str"/>
      <x:c r="L48" s="39" t="str"/>
      <x:c r="M48" s="39" t="str"/>
      <x:c r="N48" s="39" t="str"/>
      <x:c r="O48" s="39" t="str">
        <x:v>https://20.atomico.com/</x:v>
      </x:c>
      <x:c r="P48" s="39" t="str">
        <x:v>Ligar a abordagem à construção de uma empresa tecnológica global a partir da Europa.</x:v>
      </x:c>
      <x:c r="Q48" s="39" t="str">
        <x:v>Missão pública da Atomico e função na equipa.</x:v>
      </x:c>
      <x:c r="R48" s="39" t="str">
        <x:v>https://20.atomico.com/</x:v>
      </x:c>
      <x:c r="S48" s="44" t="str">
        <x:v>2026-09-09</x:v>
      </x:c>
      <x:c r="T48" s="39" t="str">
        <x:v>Média</x:v>
      </x:c>
      <x:c r="U48" s="39" t="str">
        <x:v>Base</x:v>
      </x:c>
      <x:c r="V48" s="39" t="str"/>
    </x:row>
    <x:row r="49" ht="40" customHeight="1">
      <x:c r="A49" s="39" t="str">
        <x:v>PER0048</x:v>
      </x:c>
      <x:c r="B49" s="39" t="str">
        <x:v>INV007</x:v>
      </x:c>
      <x:c r="C49" s="39" t="str">
        <x:v>Atomico</x:v>
      </x:c>
      <x:c r="D49" s="39" t="str">
        <x:v>Joen Bonnier</x:v>
      </x:c>
      <x:c r="E49" s="39" t="str">
        <x:v>Partner</x:v>
      </x:c>
      <x:c r="F49" s="39" t="str">
        <x:v>Sim</x:v>
      </x:c>
      <x:c r="G49" s="39" t="str">
        <x:v>Decisor</x:v>
      </x:c>
      <x:c r="H49" s="39" t="str">
        <x:v>Estocolmo</x:v>
      </x:c>
      <x:c r="I49" s="39" t="str">
        <x:v>Nordics; consumer; enterprise</x:v>
      </x:c>
      <x:c r="J49" s="39" t="str">
        <x:v>Inception to IPO</x:v>
      </x:c>
      <x:c r="K49" s="39" t="str"/>
      <x:c r="L49" s="39" t="str"/>
      <x:c r="M49" s="39" t="str"/>
      <x:c r="N49" s="39" t="str"/>
      <x:c r="O49" s="39" t="str">
        <x:v>https://20.atomico.com/</x:v>
      </x:c>
      <x:c r="P49" s="39" t="str">
        <x:v>Ligar a abordagem à construção de uma empresa tecnológica global a partir da Europa.</x:v>
      </x:c>
      <x:c r="Q49" s="39" t="str">
        <x:v>Missão pública da Atomico e função na equipa.</x:v>
      </x:c>
      <x:c r="R49" s="39" t="str">
        <x:v>https://20.atomico.com/</x:v>
      </x:c>
      <x:c r="S49" s="44" t="str">
        <x:v>2026-09-09</x:v>
      </x:c>
      <x:c r="T49" s="39" t="str">
        <x:v>Média</x:v>
      </x:c>
      <x:c r="U49" s="39" t="str">
        <x:v>Base</x:v>
      </x:c>
      <x:c r="V49" s="39" t="str"/>
    </x:row>
    <x:row r="50" ht="40" customHeight="1">
      <x:c r="A50" s="39" t="str">
        <x:v>PER0049</x:v>
      </x:c>
      <x:c r="B50" s="39" t="str">
        <x:v>INV008</x:v>
      </x:c>
      <x:c r="C50" s="39" t="str">
        <x:v>Balderton Capital</x:v>
      </x:c>
      <x:c r="D50" s="39" t="str">
        <x:v>Bernard Liautaud</x:v>
      </x:c>
      <x:c r="E50" s="39" t="str">
        <x:v>Managing Partner</x:v>
      </x:c>
      <x:c r="F50" s="39" t="str">
        <x:v>Sim</x:v>
      </x:c>
      <x:c r="G50" s="39" t="str">
        <x:v>Decisor</x:v>
      </x:c>
      <x:c r="H50" s="39" t="str">
        <x:v>Londres</x:v>
      </x:c>
      <x:c r="I50" s="39" t="str">
        <x:v>Enterprise software; growth</x:v>
      </x:c>
      <x:c r="J50" s="39" t="str">
        <x:v>Seed to IPO</x:v>
      </x:c>
      <x:c r="K50" s="39" t="str"/>
      <x:c r="L50" s="39" t="str"/>
      <x:c r="M50" s="39" t="str"/>
      <x:c r="N50" s="39" t="str"/>
      <x:c r="O50" s="39" t="str">
        <x:v>https://www.balderton.com/team/</x:v>
      </x:c>
      <x:c r="P50" s="39" t="str">
        <x:v>Mostrar por que a empresa pode ser uma campeã tecnológica europeia e qual experiência do partner é relevante.</x:v>
      </x:c>
      <x:c r="Q50" s="39" t="str">
        <x:v>Tese europeia e perfis públicos da equipa.</x:v>
      </x:c>
      <x:c r="R50" s="39" t="str">
        <x:v>https://www.balderton.com/team/</x:v>
      </x:c>
      <x:c r="S50" s="44" t="str">
        <x:v>2026-09-09</x:v>
      </x:c>
      <x:c r="T50" s="39" t="str">
        <x:v>Alta</x:v>
      </x:c>
      <x:c r="U50" s="39" t="str">
        <x:v>Base</x:v>
      </x:c>
      <x:c r="V50" s="39" t="str"/>
    </x:row>
    <x:row r="51" ht="40" customHeight="1">
      <x:c r="A51" s="39" t="str">
        <x:v>PER0050</x:v>
      </x:c>
      <x:c r="B51" s="39" t="str">
        <x:v>INV008</x:v>
      </x:c>
      <x:c r="C51" s="39" t="str">
        <x:v>Balderton Capital</x:v>
      </x:c>
      <x:c r="D51" s="39" t="str">
        <x:v>Daniel Waterhouse</x:v>
      </x:c>
      <x:c r="E51" s="39" t="str">
        <x:v>Partner</x:v>
      </x:c>
      <x:c r="F51" s="39" t="str">
        <x:v>Sim</x:v>
      </x:c>
      <x:c r="G51" s="39" t="str">
        <x:v>Decisor</x:v>
      </x:c>
      <x:c r="H51" s="39" t="str">
        <x:v>Londres</x:v>
      </x:c>
      <x:c r="I51" s="39" t="str">
        <x:v>Fusion; AI health; enterprise GTM; consumer</x:v>
      </x:c>
      <x:c r="J51" s="39" t="str">
        <x:v>Seed to IPO</x:v>
      </x:c>
      <x:c r="K51" s="39" t="str"/>
      <x:c r="L51" s="39" t="str"/>
      <x:c r="M51" s="39" t="str"/>
      <x:c r="N51" s="39" t="str"/>
      <x:c r="O51" s="39" t="str">
        <x:v>https://www.balderton.com/team/</x:v>
      </x:c>
      <x:c r="P51" s="39" t="str">
        <x:v>Mostrar por que a empresa pode ser uma campeã tecnológica europeia e qual experiência do partner é relevante.</x:v>
      </x:c>
      <x:c r="Q51" s="39" t="str">
        <x:v>Tese europeia e perfis públicos da equipa.</x:v>
      </x:c>
      <x:c r="R51" s="39" t="str">
        <x:v>https://www.balderton.com/team/</x:v>
      </x:c>
      <x:c r="S51" s="44" t="str">
        <x:v>2026-09-09</x:v>
      </x:c>
      <x:c r="T51" s="39" t="str">
        <x:v>Alta</x:v>
      </x:c>
      <x:c r="U51" s="39" t="str">
        <x:v>Enriquecido</x:v>
      </x:c>
      <x:c r="V51" s="39" t="str"/>
    </x:row>
    <x:row r="52" ht="40" customHeight="1">
      <x:c r="A52" s="39" t="str">
        <x:v>PER0051</x:v>
      </x:c>
      <x:c r="B52" s="39" t="str">
        <x:v>INV008</x:v>
      </x:c>
      <x:c r="C52" s="39" t="str">
        <x:v>Balderton Capital</x:v>
      </x:c>
      <x:c r="D52" s="39" t="str">
        <x:v>Rob Moffat</x:v>
      </x:c>
      <x:c r="E52" s="39" t="str">
        <x:v>Partner</x:v>
      </x:c>
      <x:c r="F52" s="39" t="str">
        <x:v>Sim</x:v>
      </x:c>
      <x:c r="G52" s="39" t="str">
        <x:v>Decisor</x:v>
      </x:c>
      <x:c r="H52" s="39" t="str">
        <x:v>Londres</x:v>
      </x:c>
      <x:c r="I52" s="39" t="str">
        <x:v>Fintech; mobile consumer; vertical AI</x:v>
      </x:c>
      <x:c r="J52" s="39" t="str">
        <x:v>Seed to IPO</x:v>
      </x:c>
      <x:c r="K52" s="39" t="str"/>
      <x:c r="L52" s="39" t="str"/>
      <x:c r="M52" s="39" t="str"/>
      <x:c r="N52" s="39" t="str"/>
      <x:c r="O52" s="39" t="str">
        <x:v>https://www.balderton.com/team/</x:v>
      </x:c>
      <x:c r="P52" s="39" t="str">
        <x:v>Mostrar por que a empresa pode ser uma campeã tecnológica europeia e qual experiência do partner é relevante.</x:v>
      </x:c>
      <x:c r="Q52" s="39" t="str">
        <x:v>Tese europeia e perfis públicos da equipa.</x:v>
      </x:c>
      <x:c r="R52" s="39" t="str">
        <x:v>https://www.balderton.com/team/</x:v>
      </x:c>
      <x:c r="S52" s="44" t="str">
        <x:v>2026-09-09</x:v>
      </x:c>
      <x:c r="T52" s="39" t="str">
        <x:v>Alta</x:v>
      </x:c>
      <x:c r="U52" s="39" t="str">
        <x:v>Enriquecido</x:v>
      </x:c>
      <x:c r="V52" s="39" t="str"/>
    </x:row>
    <x:row r="53" ht="40" customHeight="1">
      <x:c r="A53" s="39" t="str">
        <x:v>PER0052</x:v>
      </x:c>
      <x:c r="B53" s="39" t="str">
        <x:v>INV008</x:v>
      </x:c>
      <x:c r="C53" s="39" t="str">
        <x:v>Balderton Capital</x:v>
      </x:c>
      <x:c r="D53" s="39" t="str">
        <x:v>James Wise</x:v>
      </x:c>
      <x:c r="E53" s="39" t="str">
        <x:v>Partner</x:v>
      </x:c>
      <x:c r="F53" s="39" t="str">
        <x:v>Sim</x:v>
      </x:c>
      <x:c r="G53" s="39" t="str">
        <x:v>Decisor</x:v>
      </x:c>
      <x:c r="H53" s="39" t="str">
        <x:v>Londres</x:v>
      </x:c>
      <x:c r="I53" s="39" t="str">
        <x:v>Health; climate; enterprise</x:v>
      </x:c>
      <x:c r="J53" s="39" t="str">
        <x:v>Seed to IPO</x:v>
      </x:c>
      <x:c r="K53" s="39" t="str"/>
      <x:c r="L53" s="39" t="str"/>
      <x:c r="M53" s="39" t="str"/>
      <x:c r="N53" s="39" t="str"/>
      <x:c r="O53" s="39" t="str">
        <x:v>https://www.balderton.com/team/</x:v>
      </x:c>
      <x:c r="P53" s="39" t="str">
        <x:v>Mostrar por que a empresa pode ser uma campeã tecnológica europeia e qual experiência do partner é relevante.</x:v>
      </x:c>
      <x:c r="Q53" s="39" t="str">
        <x:v>Tese europeia e perfis públicos da equipa.</x:v>
      </x:c>
      <x:c r="R53" s="39" t="str">
        <x:v>https://www.balderton.com/team/</x:v>
      </x:c>
      <x:c r="S53" s="44" t="str">
        <x:v>2026-09-09</x:v>
      </x:c>
      <x:c r="T53" s="39" t="str">
        <x:v>Alta</x:v>
      </x:c>
      <x:c r="U53" s="39" t="str">
        <x:v>Base</x:v>
      </x:c>
      <x:c r="V53" s="39" t="str"/>
    </x:row>
    <x:row r="54" ht="40" customHeight="1">
      <x:c r="A54" s="39" t="str">
        <x:v>PER0053</x:v>
      </x:c>
      <x:c r="B54" s="39" t="str">
        <x:v>INV008</x:v>
      </x:c>
      <x:c r="C54" s="39" t="str">
        <x:v>Balderton Capital</x:v>
      </x:c>
      <x:c r="D54" s="39" t="str">
        <x:v>Rana Yared</x:v>
      </x:c>
      <x:c r="E54" s="39" t="str">
        <x:v>Partner</x:v>
      </x:c>
      <x:c r="F54" s="39" t="str">
        <x:v>Sim</x:v>
      </x:c>
      <x:c r="G54" s="39" t="str">
        <x:v>Decisor</x:v>
      </x:c>
      <x:c r="H54" s="39" t="str">
        <x:v>Londres</x:v>
      </x:c>
      <x:c r="I54" s="39" t="str">
        <x:v>Fintech; growth</x:v>
      </x:c>
      <x:c r="J54" s="39" t="str">
        <x:v>Seed to IPO</x:v>
      </x:c>
      <x:c r="K54" s="39" t="str"/>
      <x:c r="L54" s="39" t="str"/>
      <x:c r="M54" s="39" t="str"/>
      <x:c r="N54" s="39" t="str"/>
      <x:c r="O54" s="39" t="str">
        <x:v>https://www.balderton.com/team/</x:v>
      </x:c>
      <x:c r="P54" s="39" t="str">
        <x:v>Mostrar por que a empresa pode ser uma campeã tecnológica europeia e qual experiência do partner é relevante.</x:v>
      </x:c>
      <x:c r="Q54" s="39" t="str">
        <x:v>Tese europeia e perfis públicos da equipa.</x:v>
      </x:c>
      <x:c r="R54" s="39" t="str">
        <x:v>https://www.balderton.com/team/</x:v>
      </x:c>
      <x:c r="S54" s="44" t="str">
        <x:v>2026-09-09</x:v>
      </x:c>
      <x:c r="T54" s="39" t="str">
        <x:v>Alta</x:v>
      </x:c>
      <x:c r="U54" s="39" t="str">
        <x:v>Base</x:v>
      </x:c>
      <x:c r="V54" s="39" t="str"/>
    </x:row>
    <x:row r="55" ht="40" customHeight="1">
      <x:c r="A55" s="39" t="str">
        <x:v>PER0054</x:v>
      </x:c>
      <x:c r="B55" s="39" t="str">
        <x:v>INV008</x:v>
      </x:c>
      <x:c r="C55" s="39" t="str">
        <x:v>Balderton Capital</x:v>
      </x:c>
      <x:c r="D55" s="39" t="str">
        <x:v>Greta Anderson</x:v>
      </x:c>
      <x:c r="E55" s="39" t="str">
        <x:v>Managing Director</x:v>
      </x:c>
      <x:c r="F55" s="39" t="str">
        <x:v>Sim</x:v>
      </x:c>
      <x:c r="G55" s="39" t="str">
        <x:v>Decisor</x:v>
      </x:c>
      <x:c r="H55" s="39" t="str">
        <x:v>Londres</x:v>
      </x:c>
      <x:c r="I55" s="39" t="str">
        <x:v>Early stage</x:v>
      </x:c>
      <x:c r="J55" s="39" t="str">
        <x:v>Seed to IPO</x:v>
      </x:c>
      <x:c r="K55" s="39" t="str"/>
      <x:c r="L55" s="39" t="str"/>
      <x:c r="M55" s="39" t="str"/>
      <x:c r="N55" s="39" t="str"/>
      <x:c r="O55" s="39" t="str">
        <x:v>https://www.balderton.com/team/</x:v>
      </x:c>
      <x:c r="P55" s="39" t="str">
        <x:v>Mostrar por que a empresa pode ser uma campeã tecnológica europeia e qual experiência do partner é relevante.</x:v>
      </x:c>
      <x:c r="Q55" s="39" t="str">
        <x:v>Tese europeia e perfis públicos da equipa.</x:v>
      </x:c>
      <x:c r="R55" s="39" t="str">
        <x:v>https://www.balderton.com/team/</x:v>
      </x:c>
      <x:c r="S55" s="44" t="str">
        <x:v>2026-09-09</x:v>
      </x:c>
      <x:c r="T55" s="39" t="str">
        <x:v>Alta</x:v>
      </x:c>
      <x:c r="U55" s="39" t="str">
        <x:v>Base</x:v>
      </x:c>
      <x:c r="V55" s="39" t="str"/>
    </x:row>
    <x:row r="56" ht="40" customHeight="1">
      <x:c r="A56" s="39" t="str">
        <x:v>PER0055</x:v>
      </x:c>
      <x:c r="B56" s="39" t="str">
        <x:v>INV008</x:v>
      </x:c>
      <x:c r="C56" s="39" t="str">
        <x:v>Balderton Capital</x:v>
      </x:c>
      <x:c r="D56" s="39" t="str">
        <x:v>Elena Moneta</x:v>
      </x:c>
      <x:c r="E56" s="39" t="str">
        <x:v>Managing Director</x:v>
      </x:c>
      <x:c r="F56" s="39" t="str">
        <x:v>Sim</x:v>
      </x:c>
      <x:c r="G56" s="39" t="str">
        <x:v>Decisor</x:v>
      </x:c>
      <x:c r="H56" s="39" t="str">
        <x:v>Londres</x:v>
      </x:c>
      <x:c r="I56" s="39" t="str">
        <x:v>Growth; health; SaaS; fintech</x:v>
      </x:c>
      <x:c r="J56" s="39" t="str">
        <x:v>Seed to IPO</x:v>
      </x:c>
      <x:c r="K56" s="39" t="str"/>
      <x:c r="L56" s="39" t="str"/>
      <x:c r="M56" s="39" t="str"/>
      <x:c r="N56" s="39" t="str"/>
      <x:c r="O56" s="39" t="str">
        <x:v>https://www.balderton.com/team/</x:v>
      </x:c>
      <x:c r="P56" s="39" t="str">
        <x:v>Mostrar por que a empresa pode ser uma campeã tecnológica europeia e qual experiência do partner é relevante.</x:v>
      </x:c>
      <x:c r="Q56" s="39" t="str">
        <x:v>Tese europeia e perfis públicos da equipa.</x:v>
      </x:c>
      <x:c r="R56" s="39" t="str">
        <x:v>https://www.balderton.com/team/</x:v>
      </x:c>
      <x:c r="S56" s="44" t="str">
        <x:v>2026-09-09</x:v>
      </x:c>
      <x:c r="T56" s="39" t="str">
        <x:v>Alta</x:v>
      </x:c>
      <x:c r="U56" s="39" t="str">
        <x:v>Base</x:v>
      </x:c>
      <x:c r="V56" s="39" t="str"/>
    </x:row>
    <x:row r="57" ht="40" customHeight="1">
      <x:c r="A57" s="39" t="str">
        <x:v>PER0056</x:v>
      </x:c>
      <x:c r="B57" s="39" t="str">
        <x:v>INV008</x:v>
      </x:c>
      <x:c r="C57" s="39" t="str">
        <x:v>Balderton Capital</x:v>
      </x:c>
      <x:c r="D57" s="39" t="str">
        <x:v>Claudia Rowe</x:v>
      </x:c>
      <x:c r="E57" s="39" t="str">
        <x:v>Managing Director</x:v>
      </x:c>
      <x:c r="F57" s="39" t="str">
        <x:v>Sim</x:v>
      </x:c>
      <x:c r="G57" s="39" t="str">
        <x:v>Decisor</x:v>
      </x:c>
      <x:c r="H57" s="39" t="str">
        <x:v>Londres</x:v>
      </x:c>
      <x:c r="I57" s="39" t="str">
        <x:v>Growth</x:v>
      </x:c>
      <x:c r="J57" s="39" t="str">
        <x:v>Seed to IPO</x:v>
      </x:c>
      <x:c r="K57" s="39" t="str"/>
      <x:c r="L57" s="39" t="str"/>
      <x:c r="M57" s="39" t="str"/>
      <x:c r="N57" s="39" t="str"/>
      <x:c r="O57" s="39" t="str">
        <x:v>https://www.balderton.com/team/</x:v>
      </x:c>
      <x:c r="P57" s="39" t="str">
        <x:v>Mostrar por que a empresa pode ser uma campeã tecnológica europeia e qual experiência do partner é relevante.</x:v>
      </x:c>
      <x:c r="Q57" s="39" t="str">
        <x:v>Tese europeia e perfis públicos da equipa.</x:v>
      </x:c>
      <x:c r="R57" s="39" t="str">
        <x:v>https://www.balderton.com/team/</x:v>
      </x:c>
      <x:c r="S57" s="44" t="str">
        <x:v>2026-09-09</x:v>
      </x:c>
      <x:c r="T57" s="39" t="str">
        <x:v>Alta</x:v>
      </x:c>
      <x:c r="U57" s="39" t="str">
        <x:v>Base</x:v>
      </x:c>
      <x:c r="V57" s="39" t="str"/>
    </x:row>
    <x:row r="58" ht="40" customHeight="1">
      <x:c r="A58" s="39" t="str">
        <x:v>PER0057</x:v>
      </x:c>
      <x:c r="B58" s="39" t="str">
        <x:v>INV008</x:v>
      </x:c>
      <x:c r="C58" s="39" t="str">
        <x:v>Balderton Capital</x:v>
      </x:c>
      <x:c r="D58" s="39" t="str">
        <x:v>Shikha Ahluwalia</x:v>
      </x:c>
      <x:c r="E58" s="39" t="str">
        <x:v>Principal</x:v>
      </x:c>
      <x:c r="F58" s="39" t="str">
        <x:v>Rever</x:v>
      </x:c>
      <x:c r="G58" s="39" t="str">
        <x:v>Equipa de investimento</x:v>
      </x:c>
      <x:c r="H58" s="39" t="str">
        <x:v>Berlim</x:v>
      </x:c>
      <x:c r="I58" s="39" t="str">
        <x:v>DACH; early stage</x:v>
      </x:c>
      <x:c r="J58" s="39" t="str">
        <x:v>Seed to IPO</x:v>
      </x:c>
      <x:c r="K58" s="39" t="str"/>
      <x:c r="L58" s="39" t="str"/>
      <x:c r="M58" s="39" t="str"/>
      <x:c r="N58" s="39" t="str"/>
      <x:c r="O58" s="39" t="str">
        <x:v>https://www.balderton.com/team/</x:v>
      </x:c>
      <x:c r="P58" s="39" t="str">
        <x:v>Mostrar por que a empresa pode ser uma campeã tecnológica europeia e qual experiência do partner é relevante.</x:v>
      </x:c>
      <x:c r="Q58" s="39" t="str">
        <x:v>Tese europeia e perfis públicos da equipa.</x:v>
      </x:c>
      <x:c r="R58" s="39" t="str">
        <x:v>https://www.balderton.com/team/</x:v>
      </x:c>
      <x:c r="S58" s="44" t="str">
        <x:v>2026-09-09</x:v>
      </x:c>
      <x:c r="T58" s="39" t="str">
        <x:v>Alta</x:v>
      </x:c>
      <x:c r="U58" s="39" t="str">
        <x:v>Base</x:v>
      </x:c>
      <x:c r="V58" s="39" t="str"/>
    </x:row>
    <x:row r="59" ht="40" customHeight="1">
      <x:c r="A59" s="39" t="str">
        <x:v>PER0058</x:v>
      </x:c>
      <x:c r="B59" s="39" t="str">
        <x:v>INV008</x:v>
      </x:c>
      <x:c r="C59" s="39" t="str">
        <x:v>Balderton Capital</x:v>
      </x:c>
      <x:c r="D59" s="39" t="str">
        <x:v>Sivesh Sukumar</x:v>
      </x:c>
      <x:c r="E59" s="39" t="str">
        <x:v>Principal</x:v>
      </x:c>
      <x:c r="F59" s="39" t="str">
        <x:v>Rever</x:v>
      </x:c>
      <x:c r="G59" s="39" t="str">
        <x:v>Equipa de investimento</x:v>
      </x:c>
      <x:c r="H59" s="39" t="str">
        <x:v>Londres</x:v>
      </x:c>
      <x:c r="I59" s="39" t="str">
        <x:v>Technology</x:v>
      </x:c>
      <x:c r="J59" s="39" t="str">
        <x:v>Seed to IPO</x:v>
      </x:c>
      <x:c r="K59" s="39" t="str"/>
      <x:c r="L59" s="39" t="str"/>
      <x:c r="M59" s="39" t="str"/>
      <x:c r="N59" s="39" t="str"/>
      <x:c r="O59" s="39" t="str">
        <x:v>https://www.balderton.com/team/</x:v>
      </x:c>
      <x:c r="P59" s="39" t="str">
        <x:v>Mostrar por que a empresa pode ser uma campeã tecnológica europeia e qual experiência do partner é relevante.</x:v>
      </x:c>
      <x:c r="Q59" s="39" t="str">
        <x:v>Tese europeia e perfis públicos da equipa.</x:v>
      </x:c>
      <x:c r="R59" s="39" t="str">
        <x:v>https://www.balderton.com/team/</x:v>
      </x:c>
      <x:c r="S59" s="44" t="str">
        <x:v>2026-09-09</x:v>
      </x:c>
      <x:c r="T59" s="39" t="str">
        <x:v>Alta</x:v>
      </x:c>
      <x:c r="U59" s="39" t="str">
        <x:v>Base</x:v>
      </x:c>
      <x:c r="V59" s="39" t="str"/>
    </x:row>
    <x:row r="60" ht="40" customHeight="1">
      <x:c r="A60" s="39" t="str">
        <x:v>PER0059</x:v>
      </x:c>
      <x:c r="B60" s="39" t="str">
        <x:v>INV009</x:v>
      </x:c>
      <x:c r="C60" s="39" t="str">
        <x:v>Cherry Ventures</x:v>
      </x:c>
      <x:c r="D60" s="39" t="str">
        <x:v>Filip Dames</x:v>
      </x:c>
      <x:c r="E60" s="39" t="str">
        <x:v>Founding Partner</x:v>
      </x:c>
      <x:c r="F60" s="39" t="str">
        <x:v>Sim</x:v>
      </x:c>
      <x:c r="G60" s="39" t="str">
        <x:v>Decisor</x:v>
      </x:c>
      <x:c r="H60" s="39" t="str">
        <x:v>Berlim</x:v>
      </x:c>
      <x:c r="I60" s="39" t="str">
        <x:v>Consumer; marketplaces; software</x:v>
      </x:c>
      <x:c r="J60" s="39" t="str">
        <x:v>Pre-seed to Series A</x:v>
      </x:c>
      <x:c r="K60" s="39" t="str"/>
      <x:c r="L60" s="39" t="str"/>
      <x:c r="M60" s="39" t="str"/>
      <x:c r="N60" s="39" t="str"/>
      <x:c r="O60" s="39" t="str">
        <x:v>https://cherry.vc/team</x:v>
      </x:c>
      <x:c r="P60" s="39" t="str">
        <x:v>Usar uma anomalia concreta do mercado e o fio condutor que torna a oportunidade plausível.</x:v>
      </x:c>
      <x:c r="Q60" s="39" t="str">
        <x:v>Cherry publica estes três critérios como núcleo da avaliação.</x:v>
      </x:c>
      <x:c r="R60" s="39" t="str">
        <x:v>https://cherry.vc/about</x:v>
      </x:c>
      <x:c r="S60" s="44" t="str">
        <x:v>2026-09-09</x:v>
      </x:c>
      <x:c r="T60" s="39" t="str">
        <x:v>Alta</x:v>
      </x:c>
      <x:c r="U60" s="39" t="str">
        <x:v>Base</x:v>
      </x:c>
      <x:c r="V60" s="39" t="str"/>
    </x:row>
    <x:row r="61" ht="40" customHeight="1">
      <x:c r="A61" s="39" t="str">
        <x:v>PER0060</x:v>
      </x:c>
      <x:c r="B61" s="39" t="str">
        <x:v>INV009</x:v>
      </x:c>
      <x:c r="C61" s="39" t="str">
        <x:v>Cherry Ventures</x:v>
      </x:c>
      <x:c r="D61" s="39" t="str">
        <x:v>Christian Meermann</x:v>
      </x:c>
      <x:c r="E61" s="39" t="str">
        <x:v>Founding Partner</x:v>
      </x:c>
      <x:c r="F61" s="39" t="str">
        <x:v>Sim</x:v>
      </x:c>
      <x:c r="G61" s="39" t="str">
        <x:v>Decisor</x:v>
      </x:c>
      <x:c r="H61" s="39" t="str">
        <x:v>Berlim</x:v>
      </x:c>
      <x:c r="I61" s="39" t="str">
        <x:v>Consumer; SaaS</x:v>
      </x:c>
      <x:c r="J61" s="39" t="str">
        <x:v>Pre-seed to Series A</x:v>
      </x:c>
      <x:c r="K61" s="39" t="str"/>
      <x:c r="L61" s="39" t="str"/>
      <x:c r="M61" s="39" t="str"/>
      <x:c r="N61" s="39" t="str"/>
      <x:c r="O61" s="39" t="str">
        <x:v>https://cherry.vc/team</x:v>
      </x:c>
      <x:c r="P61" s="39" t="str">
        <x:v>Usar uma anomalia concreta do mercado e o fio condutor que torna a oportunidade plausível.</x:v>
      </x:c>
      <x:c r="Q61" s="39" t="str">
        <x:v>Cherry publica estes três critérios como núcleo da avaliação.</x:v>
      </x:c>
      <x:c r="R61" s="39" t="str">
        <x:v>https://cherry.vc/about</x:v>
      </x:c>
      <x:c r="S61" s="44" t="str">
        <x:v>2026-09-09</x:v>
      </x:c>
      <x:c r="T61" s="39" t="str">
        <x:v>Alta</x:v>
      </x:c>
      <x:c r="U61" s="39" t="str">
        <x:v>Base</x:v>
      </x:c>
      <x:c r="V61" s="39" t="str"/>
    </x:row>
    <x:row r="62" ht="40" customHeight="1">
      <x:c r="A62" s="39" t="str">
        <x:v>PER0061</x:v>
      </x:c>
      <x:c r="B62" s="39" t="str">
        <x:v>INV009</x:v>
      </x:c>
      <x:c r="C62" s="39" t="str">
        <x:v>Cherry Ventures</x:v>
      </x:c>
      <x:c r="D62" s="39" t="str">
        <x:v>Dinika Mahtani</x:v>
      </x:c>
      <x:c r="E62" s="39" t="str">
        <x:v>Partner</x:v>
      </x:c>
      <x:c r="F62" s="39" t="str">
        <x:v>Sim</x:v>
      </x:c>
      <x:c r="G62" s="39" t="str">
        <x:v>Decisor</x:v>
      </x:c>
      <x:c r="H62" s="39" t="str">
        <x:v>Londres</x:v>
      </x:c>
      <x:c r="I62" s="39" t="str">
        <x:v>B2B; fintech; marketplaces</x:v>
      </x:c>
      <x:c r="J62" s="39" t="str">
        <x:v>Pre-seed to Series A</x:v>
      </x:c>
      <x:c r="K62" s="39" t="str"/>
      <x:c r="L62" s="39" t="str"/>
      <x:c r="M62" s="39" t="str"/>
      <x:c r="N62" s="39" t="str"/>
      <x:c r="O62" s="39" t="str">
        <x:v>https://cherry.vc/team</x:v>
      </x:c>
      <x:c r="P62" s="39" t="str">
        <x:v>Usar uma anomalia concreta do mercado e o fio condutor que torna a oportunidade plausível.</x:v>
      </x:c>
      <x:c r="Q62" s="39" t="str">
        <x:v>Cherry publica estes três critérios como núcleo da avaliação.</x:v>
      </x:c>
      <x:c r="R62" s="39" t="str">
        <x:v>https://cherry.vc/about</x:v>
      </x:c>
      <x:c r="S62" s="44" t="str">
        <x:v>2026-09-09</x:v>
      </x:c>
      <x:c r="T62" s="39" t="str">
        <x:v>Alta</x:v>
      </x:c>
      <x:c r="U62" s="39" t="str">
        <x:v>Base</x:v>
      </x:c>
      <x:c r="V62" s="39" t="str"/>
    </x:row>
    <x:row r="63" ht="40" customHeight="1">
      <x:c r="A63" s="39" t="str">
        <x:v>PER0062</x:v>
      </x:c>
      <x:c r="B63" s="39" t="str">
        <x:v>INV009</x:v>
      </x:c>
      <x:c r="C63" s="39" t="str">
        <x:v>Cherry Ventures</x:v>
      </x:c>
      <x:c r="D63" s="39" t="str">
        <x:v>Sophia Bendz</x:v>
      </x:c>
      <x:c r="E63" s="39" t="str">
        <x:v>Partner</x:v>
      </x:c>
      <x:c r="F63" s="39" t="str">
        <x:v>Sim</x:v>
      </x:c>
      <x:c r="G63" s="39" t="str">
        <x:v>Decisor</x:v>
      </x:c>
      <x:c r="H63" s="39" t="str">
        <x:v>Estocolmo</x:v>
      </x:c>
      <x:c r="I63" s="39" t="str">
        <x:v>Consumer; brand; marketplaces</x:v>
      </x:c>
      <x:c r="J63" s="39" t="str">
        <x:v>Pre-seed to Series A</x:v>
      </x:c>
      <x:c r="K63" s="39" t="str"/>
      <x:c r="L63" s="39" t="str"/>
      <x:c r="M63" s="39" t="str"/>
      <x:c r="N63" s="39" t="str"/>
      <x:c r="O63" s="39" t="str">
        <x:v>https://cherry.vc/team</x:v>
      </x:c>
      <x:c r="P63" s="39" t="str">
        <x:v>Usar uma anomalia concreta do mercado e o fio condutor que torna a oportunidade plausível.</x:v>
      </x:c>
      <x:c r="Q63" s="39" t="str">
        <x:v>Cherry publica estes três critérios como núcleo da avaliação.</x:v>
      </x:c>
      <x:c r="R63" s="39" t="str">
        <x:v>https://cherry.vc/about</x:v>
      </x:c>
      <x:c r="S63" s="44" t="str">
        <x:v>2026-09-09</x:v>
      </x:c>
      <x:c r="T63" s="39" t="str">
        <x:v>Alta</x:v>
      </x:c>
      <x:c r="U63" s="39" t="str">
        <x:v>Enriquecido</x:v>
      </x:c>
      <x:c r="V63" s="39" t="str"/>
    </x:row>
    <x:row r="64" ht="40" customHeight="1">
      <x:c r="A64" s="39" t="str">
        <x:v>PER0063</x:v>
      </x:c>
      <x:c r="B64" s="39" t="str">
        <x:v>INV009</x:v>
      </x:c>
      <x:c r="C64" s="39" t="str">
        <x:v>Cherry Ventures</x:v>
      </x:c>
      <x:c r="D64" s="39" t="str">
        <x:v>Victor Huerbe</x:v>
      </x:c>
      <x:c r="E64" s="39" t="str">
        <x:v>Principal</x:v>
      </x:c>
      <x:c r="F64" s="39" t="str">
        <x:v>Rever</x:v>
      </x:c>
      <x:c r="G64" s="39" t="str">
        <x:v>Equipa de investimento</x:v>
      </x:c>
      <x:c r="H64" s="39" t="str">
        <x:v>Berlim</x:v>
      </x:c>
      <x:c r="I64" s="39" t="str">
        <x:v>Technology</x:v>
      </x:c>
      <x:c r="J64" s="39" t="str">
        <x:v>Pre-seed to Series A</x:v>
      </x:c>
      <x:c r="K64" s="39" t="str"/>
      <x:c r="L64" s="39" t="str"/>
      <x:c r="M64" s="39" t="str"/>
      <x:c r="N64" s="39" t="str"/>
      <x:c r="O64" s="39" t="str">
        <x:v>https://cherry.vc/team</x:v>
      </x:c>
      <x:c r="P64" s="39" t="str">
        <x:v>Usar uma anomalia concreta do mercado e o fio condutor que torna a oportunidade plausível.</x:v>
      </x:c>
      <x:c r="Q64" s="39" t="str">
        <x:v>Cherry publica estes três critérios como núcleo da avaliação.</x:v>
      </x:c>
      <x:c r="R64" s="39" t="str">
        <x:v>https://cherry.vc/about</x:v>
      </x:c>
      <x:c r="S64" s="44" t="str">
        <x:v>2026-09-09</x:v>
      </x:c>
      <x:c r="T64" s="39" t="str">
        <x:v>Alta</x:v>
      </x:c>
      <x:c r="U64" s="39" t="str">
        <x:v>Base</x:v>
      </x:c>
      <x:c r="V64" s="39" t="str"/>
    </x:row>
    <x:row r="65" ht="40" customHeight="1">
      <x:c r="A65" s="39" t="str">
        <x:v>PER0064</x:v>
      </x:c>
      <x:c r="B65" s="39" t="str">
        <x:v>INV009</x:v>
      </x:c>
      <x:c r="C65" s="39" t="str">
        <x:v>Cherry Ventures</x:v>
      </x:c>
      <x:c r="D65" s="39" t="str">
        <x:v>Nadja Reischel</x:v>
      </x:c>
      <x:c r="E65" s="39" t="str">
        <x:v>Principal</x:v>
      </x:c>
      <x:c r="F65" s="39" t="str">
        <x:v>Rever</x:v>
      </x:c>
      <x:c r="G65" s="39" t="str">
        <x:v>Equipa de investimento</x:v>
      </x:c>
      <x:c r="H65" s="39" t="str">
        <x:v>Londres</x:v>
      </x:c>
      <x:c r="I65" s="39" t="str">
        <x:v>Technology</x:v>
      </x:c>
      <x:c r="J65" s="39" t="str">
        <x:v>Pre-seed to Series A</x:v>
      </x:c>
      <x:c r="K65" s="39" t="str"/>
      <x:c r="L65" s="39" t="str"/>
      <x:c r="M65" s="39" t="str"/>
      <x:c r="N65" s="39" t="str"/>
      <x:c r="O65" s="39" t="str">
        <x:v>https://cherry.vc/team</x:v>
      </x:c>
      <x:c r="P65" s="39" t="str">
        <x:v>Usar uma anomalia concreta do mercado e o fio condutor que torna a oportunidade plausível.</x:v>
      </x:c>
      <x:c r="Q65" s="39" t="str">
        <x:v>Cherry publica estes três critérios como núcleo da avaliação.</x:v>
      </x:c>
      <x:c r="R65" s="39" t="str">
        <x:v>https://cherry.vc/about</x:v>
      </x:c>
      <x:c r="S65" s="44" t="str">
        <x:v>2026-09-09</x:v>
      </x:c>
      <x:c r="T65" s="39" t="str">
        <x:v>Alta</x:v>
      </x:c>
      <x:c r="U65" s="39" t="str">
        <x:v>Base</x:v>
      </x:c>
      <x:c r="V65" s="39" t="str"/>
    </x:row>
    <x:row r="66" ht="40" customHeight="1">
      <x:c r="A66" s="39" t="str">
        <x:v>PER0065</x:v>
      </x:c>
      <x:c r="B66" s="39" t="str">
        <x:v>INV009</x:v>
      </x:c>
      <x:c r="C66" s="39" t="str">
        <x:v>Cherry Ventures</x:v>
      </x:c>
      <x:c r="D66" s="39" t="str">
        <x:v>Lily Petherick</x:v>
      </x:c>
      <x:c r="E66" s="39" t="str">
        <x:v>Investor</x:v>
      </x:c>
      <x:c r="F66" s="39" t="str">
        <x:v>Rever</x:v>
      </x:c>
      <x:c r="G66" s="39" t="str">
        <x:v>Equipa de investimento</x:v>
      </x:c>
      <x:c r="H66" s="39" t="str">
        <x:v>Londres</x:v>
      </x:c>
      <x:c r="I66" s="39" t="str">
        <x:v>Technology</x:v>
      </x:c>
      <x:c r="J66" s="39" t="str">
        <x:v>Pre-seed to Series A</x:v>
      </x:c>
      <x:c r="K66" s="39" t="str"/>
      <x:c r="L66" s="39" t="str"/>
      <x:c r="M66" s="39" t="str"/>
      <x:c r="N66" s="39" t="str"/>
      <x:c r="O66" s="39" t="str">
        <x:v>https://cherry.vc/team</x:v>
      </x:c>
      <x:c r="P66" s="39" t="str">
        <x:v>Usar uma anomalia concreta do mercado e o fio condutor que torna a oportunidade plausível.</x:v>
      </x:c>
      <x:c r="Q66" s="39" t="str">
        <x:v>Cherry publica estes três critérios como núcleo da avaliação.</x:v>
      </x:c>
      <x:c r="R66" s="39" t="str">
        <x:v>https://cherry.vc/about</x:v>
      </x:c>
      <x:c r="S66" s="44" t="str">
        <x:v>2026-09-09</x:v>
      </x:c>
      <x:c r="T66" s="39" t="str">
        <x:v>Alta</x:v>
      </x:c>
      <x:c r="U66" s="39" t="str">
        <x:v>Base</x:v>
      </x:c>
      <x:c r="V66" s="39" t="str"/>
    </x:row>
    <x:row r="67" ht="40" customHeight="1">
      <x:c r="A67" s="39" t="str">
        <x:v>PER0066</x:v>
      </x:c>
      <x:c r="B67" s="39" t="str">
        <x:v>INV009</x:v>
      </x:c>
      <x:c r="C67" s="39" t="str">
        <x:v>Cherry Ventures</x:v>
      </x:c>
      <x:c r="D67" s="39" t="str">
        <x:v>Julius de Gruyter</x:v>
      </x:c>
      <x:c r="E67" s="39" t="str">
        <x:v>Investor</x:v>
      </x:c>
      <x:c r="F67" s="39" t="str">
        <x:v>Rever</x:v>
      </x:c>
      <x:c r="G67" s="39" t="str">
        <x:v>Equipa de investimento</x:v>
      </x:c>
      <x:c r="H67" s="39" t="str">
        <x:v>Berlim</x:v>
      </x:c>
      <x:c r="I67" s="39" t="str">
        <x:v>Technology</x:v>
      </x:c>
      <x:c r="J67" s="39" t="str">
        <x:v>Pre-seed to Series A</x:v>
      </x:c>
      <x:c r="K67" s="39" t="str"/>
      <x:c r="L67" s="39" t="str"/>
      <x:c r="M67" s="39" t="str"/>
      <x:c r="N67" s="39" t="str"/>
      <x:c r="O67" s="39" t="str">
        <x:v>https://cherry.vc/team</x:v>
      </x:c>
      <x:c r="P67" s="39" t="str">
        <x:v>Usar uma anomalia concreta do mercado e o fio condutor que torna a oportunidade plausível.</x:v>
      </x:c>
      <x:c r="Q67" s="39" t="str">
        <x:v>Cherry publica estes três critérios como núcleo da avaliação.</x:v>
      </x:c>
      <x:c r="R67" s="39" t="str">
        <x:v>https://cherry.vc/about</x:v>
      </x:c>
      <x:c r="S67" s="44" t="str">
        <x:v>2026-09-09</x:v>
      </x:c>
      <x:c r="T67" s="39" t="str">
        <x:v>Alta</x:v>
      </x:c>
      <x:c r="U67" s="39" t="str">
        <x:v>Base</x:v>
      </x:c>
      <x:c r="V67" s="39" t="str"/>
    </x:row>
    <x:row r="68" ht="40" customHeight="1">
      <x:c r="A68" s="39" t="str">
        <x:v>PER0067</x:v>
      </x:c>
      <x:c r="B68" s="39" t="str">
        <x:v>INV009</x:v>
      </x:c>
      <x:c r="C68" s="39" t="str">
        <x:v>Cherry Ventures</x:v>
      </x:c>
      <x:c r="D68" s="39" t="str">
        <x:v>Patrick Doran</x:v>
      </x:c>
      <x:c r="E68" s="39" t="str">
        <x:v>Investor</x:v>
      </x:c>
      <x:c r="F68" s="39" t="str">
        <x:v>Rever</x:v>
      </x:c>
      <x:c r="G68" s="39" t="str">
        <x:v>Equipa de investimento</x:v>
      </x:c>
      <x:c r="H68" s="39" t="str">
        <x:v>Londres</x:v>
      </x:c>
      <x:c r="I68" s="39" t="str">
        <x:v>Technology</x:v>
      </x:c>
      <x:c r="J68" s="39" t="str">
        <x:v>Pre-seed to Series A</x:v>
      </x:c>
      <x:c r="K68" s="39" t="str"/>
      <x:c r="L68" s="39" t="str"/>
      <x:c r="M68" s="39" t="str"/>
      <x:c r="N68" s="39" t="str"/>
      <x:c r="O68" s="39" t="str">
        <x:v>https://cherry.vc/team</x:v>
      </x:c>
      <x:c r="P68" s="39" t="str">
        <x:v>Usar uma anomalia concreta do mercado e o fio condutor que torna a oportunidade plausível.</x:v>
      </x:c>
      <x:c r="Q68" s="39" t="str">
        <x:v>Cherry publica estes três critérios como núcleo da avaliação.</x:v>
      </x:c>
      <x:c r="R68" s="39" t="str">
        <x:v>https://cherry.vc/about</x:v>
      </x:c>
      <x:c r="S68" s="44" t="str">
        <x:v>2026-09-09</x:v>
      </x:c>
      <x:c r="T68" s="39" t="str">
        <x:v>Alta</x:v>
      </x:c>
      <x:c r="U68" s="39" t="str">
        <x:v>Base</x:v>
      </x:c>
      <x:c r="V68" s="39" t="str"/>
    </x:row>
    <x:row r="69" ht="40" customHeight="1">
      <x:c r="A69" s="39" t="str">
        <x:v>PER0068</x:v>
      </x:c>
      <x:c r="B69" s="39" t="str">
        <x:v>INV010</x:v>
      </x:c>
      <x:c r="C69" s="39" t="str">
        <x:v>Creandum</x:v>
      </x:c>
      <x:c r="D69" s="39" t="str">
        <x:v>Staffan Helgesson</x:v>
      </x:c>
      <x:c r="E69" s="39" t="str">
        <x:v>Partner</x:v>
      </x:c>
      <x:c r="F69" s="39" t="str">
        <x:v>Sim</x:v>
      </x:c>
      <x:c r="G69" s="39" t="str">
        <x:v>Decisor</x:v>
      </x:c>
      <x:c r="H69" s="39" t="str">
        <x:v>Estocolmo</x:v>
      </x:c>
      <x:c r="I69" s="39" t="str">
        <x:v>SaaS; climate; electrification</x:v>
      </x:c>
      <x:c r="J69" s="39" t="str">
        <x:v>Early stage</x:v>
      </x:c>
      <x:c r="K69" s="39" t="str"/>
      <x:c r="L69" s="39" t="str"/>
      <x:c r="M69" s="39" t="str"/>
      <x:c r="N69" s="39" t="str"/>
      <x:c r="O69" s="39" t="str">
        <x:v>https://creandum.com/team/</x:v>
      </x:c>
      <x:c r="P69" s="39" t="str">
        <x:v>Referir a tese setorial pessoal e demonstrar aprendizagem rápida no problema.</x:v>
      </x:c>
      <x:c r="Q69" s="39" t="str">
        <x:v>Perfis públicos detalham interesses e experiências individuais.</x:v>
      </x:c>
      <x:c r="R69" s="39" t="str">
        <x:v>https://creandum.com/team/</x:v>
      </x:c>
      <x:c r="S69" s="44" t="str">
        <x:v>2026-09-09</x:v>
      </x:c>
      <x:c r="T69" s="39" t="str">
        <x:v>Alta</x:v>
      </x:c>
      <x:c r="U69" s="39" t="str">
        <x:v>Enriquecido</x:v>
      </x:c>
      <x:c r="V69" s="39" t="str"/>
    </x:row>
    <x:row r="70" ht="40" customHeight="1">
      <x:c r="A70" s="39" t="str">
        <x:v>PER0069</x:v>
      </x:c>
      <x:c r="B70" s="39" t="str">
        <x:v>INV010</x:v>
      </x:c>
      <x:c r="C70" s="39" t="str">
        <x:v>Creandum</x:v>
      </x:c>
      <x:c r="D70" s="39" t="str">
        <x:v>Carl Fritjofsson</x:v>
      </x:c>
      <x:c r="E70" s="39" t="str">
        <x:v>Partner</x:v>
      </x:c>
      <x:c r="F70" s="39" t="str">
        <x:v>Sim</x:v>
      </x:c>
      <x:c r="G70" s="39" t="str">
        <x:v>Decisor</x:v>
      </x:c>
      <x:c r="H70" s="39" t="str">
        <x:v>São Francisco</x:v>
      </x:c>
      <x:c r="I70" s="39" t="str">
        <x:v>AI infra; vertical AI; consumer</x:v>
      </x:c>
      <x:c r="J70" s="39" t="str">
        <x:v>Early stage</x:v>
      </x:c>
      <x:c r="K70" s="39" t="str"/>
      <x:c r="L70" s="39" t="str"/>
      <x:c r="M70" s="39" t="str"/>
      <x:c r="N70" s="39" t="str"/>
      <x:c r="O70" s="39" t="str">
        <x:v>https://creandum.com/team/</x:v>
      </x:c>
      <x:c r="P70" s="39" t="str">
        <x:v>Referir a tese setorial pessoal e demonstrar aprendizagem rápida no problema.</x:v>
      </x:c>
      <x:c r="Q70" s="39" t="str">
        <x:v>Perfis públicos detalham interesses e experiências individuais.</x:v>
      </x:c>
      <x:c r="R70" s="39" t="str">
        <x:v>https://creandum.com/team/</x:v>
      </x:c>
      <x:c r="S70" s="44" t="str">
        <x:v>2026-09-09</x:v>
      </x:c>
      <x:c r="T70" s="39" t="str">
        <x:v>Alta</x:v>
      </x:c>
      <x:c r="U70" s="39" t="str">
        <x:v>Enriquecido</x:v>
      </x:c>
      <x:c r="V70" s="39" t="str"/>
    </x:row>
    <x:row r="71" ht="40" customHeight="1">
      <x:c r="A71" s="39" t="str">
        <x:v>PER0070</x:v>
      </x:c>
      <x:c r="B71" s="39" t="str">
        <x:v>INV010</x:v>
      </x:c>
      <x:c r="C71" s="39" t="str">
        <x:v>Creandum</x:v>
      </x:c>
      <x:c r="D71" s="39" t="str">
        <x:v>Fredrik Cassel</x:v>
      </x:c>
      <x:c r="E71" s="39" t="str">
        <x:v>Partner</x:v>
      </x:c>
      <x:c r="F71" s="39" t="str">
        <x:v>Sim</x:v>
      </x:c>
      <x:c r="G71" s="39" t="str">
        <x:v>Decisor</x:v>
      </x:c>
      <x:c r="H71" s="39" t="str">
        <x:v>Estocolmo</x:v>
      </x:c>
      <x:c r="I71" s="39" t="str">
        <x:v>Software; fintech</x:v>
      </x:c>
      <x:c r="J71" s="39" t="str">
        <x:v>Early stage</x:v>
      </x:c>
      <x:c r="K71" s="39" t="str"/>
      <x:c r="L71" s="39" t="str"/>
      <x:c r="M71" s="39" t="str"/>
      <x:c r="N71" s="39" t="str"/>
      <x:c r="O71" s="39" t="str">
        <x:v>https://creandum.com/team/</x:v>
      </x:c>
      <x:c r="P71" s="39" t="str">
        <x:v>Referir a tese setorial pessoal e demonstrar aprendizagem rápida no problema.</x:v>
      </x:c>
      <x:c r="Q71" s="39" t="str">
        <x:v>Perfis públicos detalham interesses e experiências individuais.</x:v>
      </x:c>
      <x:c r="R71" s="39" t="str">
        <x:v>https://creandum.com/team/</x:v>
      </x:c>
      <x:c r="S71" s="44" t="str">
        <x:v>2026-09-09</x:v>
      </x:c>
      <x:c r="T71" s="39" t="str">
        <x:v>Alta</x:v>
      </x:c>
      <x:c r="U71" s="39" t="str">
        <x:v>Base</x:v>
      </x:c>
      <x:c r="V71" s="39" t="str"/>
    </x:row>
    <x:row r="72" ht="40" customHeight="1">
      <x:c r="A72" s="39" t="str">
        <x:v>PER0071</x:v>
      </x:c>
      <x:c r="B72" s="39" t="str">
        <x:v>INV010</x:v>
      </x:c>
      <x:c r="C72" s="39" t="str">
        <x:v>Creandum</x:v>
      </x:c>
      <x:c r="D72" s="39" t="str">
        <x:v>Simon Schmincke</x:v>
      </x:c>
      <x:c r="E72" s="39" t="str">
        <x:v>Partner</x:v>
      </x:c>
      <x:c r="F72" s="39" t="str">
        <x:v>Sim</x:v>
      </x:c>
      <x:c r="G72" s="39" t="str">
        <x:v>Decisor</x:v>
      </x:c>
      <x:c r="H72" s="39" t="str">
        <x:v>Berlim</x:v>
      </x:c>
      <x:c r="I72" s="39" t="str">
        <x:v>AI; enterprise</x:v>
      </x:c>
      <x:c r="J72" s="39" t="str">
        <x:v>Early stage</x:v>
      </x:c>
      <x:c r="K72" s="39" t="str"/>
      <x:c r="L72" s="39" t="str"/>
      <x:c r="M72" s="39" t="str"/>
      <x:c r="N72" s="39" t="str"/>
      <x:c r="O72" s="39" t="str">
        <x:v>https://creandum.com/team/</x:v>
      </x:c>
      <x:c r="P72" s="39" t="str">
        <x:v>Referir a tese setorial pessoal e demonstrar aprendizagem rápida no problema.</x:v>
      </x:c>
      <x:c r="Q72" s="39" t="str">
        <x:v>Perfis públicos detalham interesses e experiências individuais.</x:v>
      </x:c>
      <x:c r="R72" s="39" t="str">
        <x:v>https://creandum.com/team/</x:v>
      </x:c>
      <x:c r="S72" s="44" t="str">
        <x:v>2026-09-09</x:v>
      </x:c>
      <x:c r="T72" s="39" t="str">
        <x:v>Alta</x:v>
      </x:c>
      <x:c r="U72" s="39" t="str">
        <x:v>Base</x:v>
      </x:c>
      <x:c r="V72" s="39" t="str"/>
    </x:row>
    <x:row r="73" ht="40" customHeight="1">
      <x:c r="A73" s="39" t="str">
        <x:v>PER0072</x:v>
      </x:c>
      <x:c r="B73" s="39" t="str">
        <x:v>INV010</x:v>
      </x:c>
      <x:c r="C73" s="39" t="str">
        <x:v>Creandum</x:v>
      </x:c>
      <x:c r="D73" s="39" t="str">
        <x:v>Peter Specht</x:v>
      </x:c>
      <x:c r="E73" s="39" t="str">
        <x:v>Partner</x:v>
      </x:c>
      <x:c r="F73" s="39" t="str">
        <x:v>Sim</x:v>
      </x:c>
      <x:c r="G73" s="39" t="str">
        <x:v>Decisor</x:v>
      </x:c>
      <x:c r="H73" s="39" t="str">
        <x:v>Londres</x:v>
      </x:c>
      <x:c r="I73" s="39" t="str">
        <x:v>SaaS; fintech</x:v>
      </x:c>
      <x:c r="J73" s="39" t="str">
        <x:v>Early stage</x:v>
      </x:c>
      <x:c r="K73" s="39" t="str"/>
      <x:c r="L73" s="39" t="str"/>
      <x:c r="M73" s="39" t="str"/>
      <x:c r="N73" s="39" t="str"/>
      <x:c r="O73" s="39" t="str">
        <x:v>https://creandum.com/team/</x:v>
      </x:c>
      <x:c r="P73" s="39" t="str">
        <x:v>Referir a tese setorial pessoal e demonstrar aprendizagem rápida no problema.</x:v>
      </x:c>
      <x:c r="Q73" s="39" t="str">
        <x:v>Perfis públicos detalham interesses e experiências individuais.</x:v>
      </x:c>
      <x:c r="R73" s="39" t="str">
        <x:v>https://creandum.com/team/</x:v>
      </x:c>
      <x:c r="S73" s="44" t="str">
        <x:v>2026-09-09</x:v>
      </x:c>
      <x:c r="T73" s="39" t="str">
        <x:v>Alta</x:v>
      </x:c>
      <x:c r="U73" s="39" t="str">
        <x:v>Base</x:v>
      </x:c>
      <x:c r="V73" s="39" t="str"/>
    </x:row>
    <x:row r="74" ht="40" customHeight="1">
      <x:c r="A74" s="39" t="str">
        <x:v>PER0073</x:v>
      </x:c>
      <x:c r="B74" s="39" t="str">
        <x:v>INV010</x:v>
      </x:c>
      <x:c r="C74" s="39" t="str">
        <x:v>Creandum</x:v>
      </x:c>
      <x:c r="D74" s="39" t="str">
        <x:v>Jakob Stein</x:v>
      </x:c>
      <x:c r="E74" s="39" t="str">
        <x:v>Partner</x:v>
      </x:c>
      <x:c r="F74" s="39" t="str">
        <x:v>Sim</x:v>
      </x:c>
      <x:c r="G74" s="39" t="str">
        <x:v>Decisor</x:v>
      </x:c>
      <x:c r="H74" s="39" t="str">
        <x:v>Berlim</x:v>
      </x:c>
      <x:c r="I74" s="39" t="str">
        <x:v>Enterprise AI; compute; physical AI</x:v>
      </x:c>
      <x:c r="J74" s="39" t="str">
        <x:v>Early stage</x:v>
      </x:c>
      <x:c r="K74" s="39" t="str"/>
      <x:c r="L74" s="39" t="str"/>
      <x:c r="M74" s="39" t="str"/>
      <x:c r="N74" s="39" t="str"/>
      <x:c r="O74" s="39" t="str">
        <x:v>https://creandum.com/team/</x:v>
      </x:c>
      <x:c r="P74" s="39" t="str">
        <x:v>Referir a tese setorial pessoal e demonstrar aprendizagem rápida no problema.</x:v>
      </x:c>
      <x:c r="Q74" s="39" t="str">
        <x:v>Perfis públicos detalham interesses e experiências individuais.</x:v>
      </x:c>
      <x:c r="R74" s="39" t="str">
        <x:v>https://creandum.com/team/</x:v>
      </x:c>
      <x:c r="S74" s="44" t="str">
        <x:v>2026-09-09</x:v>
      </x:c>
      <x:c r="T74" s="39" t="str">
        <x:v>Alta</x:v>
      </x:c>
      <x:c r="U74" s="39" t="str">
        <x:v>Enriquecido</x:v>
      </x:c>
      <x:c r="V74" s="39" t="str"/>
    </x:row>
    <x:row r="75" ht="40" customHeight="1">
      <x:c r="A75" s="39" t="str">
        <x:v>PER0074</x:v>
      </x:c>
      <x:c r="B75" s="39" t="str">
        <x:v>INV010</x:v>
      </x:c>
      <x:c r="C75" s="39" t="str">
        <x:v>Creandum</x:v>
      </x:c>
      <x:c r="D75" s="39" t="str">
        <x:v>Clara Leise</x:v>
      </x:c>
      <x:c r="E75" s="39" t="str">
        <x:v>Investment Team</x:v>
      </x:c>
      <x:c r="F75" s="39" t="str">
        <x:v>Rever</x:v>
      </x:c>
      <x:c r="G75" s="39" t="str">
        <x:v>Equipa de investimento</x:v>
      </x:c>
      <x:c r="H75" s="39" t="str">
        <x:v>Berlim</x:v>
      </x:c>
      <x:c r="I75" s="39" t="str">
        <x:v>Climate; deeptech</x:v>
      </x:c>
      <x:c r="J75" s="39" t="str">
        <x:v>Early stage</x:v>
      </x:c>
      <x:c r="K75" s="39" t="str"/>
      <x:c r="L75" s="39" t="str"/>
      <x:c r="M75" s="39" t="str"/>
      <x:c r="N75" s="39" t="str"/>
      <x:c r="O75" s="39" t="str">
        <x:v>https://creandum.com/team/</x:v>
      </x:c>
      <x:c r="P75" s="39" t="str">
        <x:v>Referir a tese setorial pessoal e demonstrar aprendizagem rápida no problema.</x:v>
      </x:c>
      <x:c r="Q75" s="39" t="str">
        <x:v>Perfis públicos detalham interesses e experiências individuais.</x:v>
      </x:c>
      <x:c r="R75" s="39" t="str">
        <x:v>https://creandum.com/team/</x:v>
      </x:c>
      <x:c r="S75" s="44" t="str">
        <x:v>2026-09-09</x:v>
      </x:c>
      <x:c r="T75" s="39" t="str">
        <x:v>Alta</x:v>
      </x:c>
      <x:c r="U75" s="39" t="str">
        <x:v>Base</x:v>
      </x:c>
      <x:c r="V75" s="39" t="str"/>
    </x:row>
    <x:row r="76" ht="40" customHeight="1">
      <x:c r="A76" s="39" t="str">
        <x:v>PER0075</x:v>
      </x:c>
      <x:c r="B76" s="39" t="str">
        <x:v>INV010</x:v>
      </x:c>
      <x:c r="C76" s="39" t="str">
        <x:v>Creandum</x:v>
      </x:c>
      <x:c r="D76" s="39" t="str">
        <x:v>Cam Sellers</x:v>
      </x:c>
      <x:c r="E76" s="39" t="str">
        <x:v>Investment Team</x:v>
      </x:c>
      <x:c r="F76" s="39" t="str">
        <x:v>Rever</x:v>
      </x:c>
      <x:c r="G76" s="39" t="str">
        <x:v>Equipa de investimento</x:v>
      </x:c>
      <x:c r="H76" s="39" t="str">
        <x:v>Londres</x:v>
      </x:c>
      <x:c r="I76" s="39" t="str">
        <x:v>Technology</x:v>
      </x:c>
      <x:c r="J76" s="39" t="str">
        <x:v>Early stage</x:v>
      </x:c>
      <x:c r="K76" s="39" t="str"/>
      <x:c r="L76" s="39" t="str"/>
      <x:c r="M76" s="39" t="str"/>
      <x:c r="N76" s="39" t="str"/>
      <x:c r="O76" s="39" t="str">
        <x:v>https://creandum.com/team/</x:v>
      </x:c>
      <x:c r="P76" s="39" t="str">
        <x:v>Referir a tese setorial pessoal e demonstrar aprendizagem rápida no problema.</x:v>
      </x:c>
      <x:c r="Q76" s="39" t="str">
        <x:v>Perfis públicos detalham interesses e experiências individuais.</x:v>
      </x:c>
      <x:c r="R76" s="39" t="str">
        <x:v>https://creandum.com/team/</x:v>
      </x:c>
      <x:c r="S76" s="44" t="str">
        <x:v>2026-09-09</x:v>
      </x:c>
      <x:c r="T76" s="39" t="str">
        <x:v>Alta</x:v>
      </x:c>
      <x:c r="U76" s="39" t="str">
        <x:v>Base</x:v>
      </x:c>
      <x:c r="V76" s="39" t="str"/>
    </x:row>
    <x:row r="77" ht="40" customHeight="1">
      <x:c r="A77" s="39" t="str">
        <x:v>PER0076</x:v>
      </x:c>
      <x:c r="B77" s="39" t="str">
        <x:v>INV010</x:v>
      </x:c>
      <x:c r="C77" s="39" t="str">
        <x:v>Creandum</x:v>
      </x:c>
      <x:c r="D77" s="39" t="str">
        <x:v>Hanel Baveja</x:v>
      </x:c>
      <x:c r="E77" s="39" t="str">
        <x:v>Investment Team</x:v>
      </x:c>
      <x:c r="F77" s="39" t="str">
        <x:v>Rever</x:v>
      </x:c>
      <x:c r="G77" s="39" t="str">
        <x:v>Equipa de investimento</x:v>
      </x:c>
      <x:c r="H77" s="39" t="str">
        <x:v>Londres</x:v>
      </x:c>
      <x:c r="I77" s="39" t="str">
        <x:v>Technology</x:v>
      </x:c>
      <x:c r="J77" s="39" t="str">
        <x:v>Early stage</x:v>
      </x:c>
      <x:c r="K77" s="39" t="str"/>
      <x:c r="L77" s="39" t="str"/>
      <x:c r="M77" s="39" t="str"/>
      <x:c r="N77" s="39" t="str"/>
      <x:c r="O77" s="39" t="str">
        <x:v>https://creandum.com/team/</x:v>
      </x:c>
      <x:c r="P77" s="39" t="str">
        <x:v>Referir a tese setorial pessoal e demonstrar aprendizagem rápida no problema.</x:v>
      </x:c>
      <x:c r="Q77" s="39" t="str">
        <x:v>Perfis públicos detalham interesses e experiências individuais.</x:v>
      </x:c>
      <x:c r="R77" s="39" t="str">
        <x:v>https://creandum.com/team/</x:v>
      </x:c>
      <x:c r="S77" s="44" t="str">
        <x:v>2026-09-09</x:v>
      </x:c>
      <x:c r="T77" s="39" t="str">
        <x:v>Alta</x:v>
      </x:c>
      <x:c r="U77" s="39" t="str">
        <x:v>Base</x:v>
      </x:c>
      <x:c r="V77" s="39" t="str"/>
    </x:row>
    <x:row r="78" ht="40" customHeight="1">
      <x:c r="A78" s="39" t="str">
        <x:v>PER0077</x:v>
      </x:c>
      <x:c r="B78" s="39" t="str">
        <x:v>INV010</x:v>
      </x:c>
      <x:c r="C78" s="39" t="str">
        <x:v>Creandum</x:v>
      </x:c>
      <x:c r="D78" s="39" t="str">
        <x:v>Richard Keuntje</x:v>
      </x:c>
      <x:c r="E78" s="39" t="str">
        <x:v>Vice President</x:v>
      </x:c>
      <x:c r="F78" s="39" t="str">
        <x:v>Rever</x:v>
      </x:c>
      <x:c r="G78" s="39" t="str">
        <x:v>Influenciador</x:v>
      </x:c>
      <x:c r="H78" s="39" t="str">
        <x:v>Londres</x:v>
      </x:c>
      <x:c r="I78" s="39" t="str">
        <x:v>Enterprise software; AI</x:v>
      </x:c>
      <x:c r="J78" s="39" t="str">
        <x:v>Early stage</x:v>
      </x:c>
      <x:c r="K78" s="39" t="str"/>
      <x:c r="L78" s="39" t="str"/>
      <x:c r="M78" s="39" t="str"/>
      <x:c r="N78" s="39" t="str"/>
      <x:c r="O78" s="39" t="str">
        <x:v>https://creandum.com/team/</x:v>
      </x:c>
      <x:c r="P78" s="39" t="str">
        <x:v>Referir a tese setorial pessoal e demonstrar aprendizagem rápida no problema.</x:v>
      </x:c>
      <x:c r="Q78" s="39" t="str">
        <x:v>Perfis públicos detalham interesses e experiências individuais.</x:v>
      </x:c>
      <x:c r="R78" s="39" t="str">
        <x:v>https://creandum.com/team/</x:v>
      </x:c>
      <x:c r="S78" s="44" t="str">
        <x:v>2026-09-09</x:v>
      </x:c>
      <x:c r="T78" s="39" t="str">
        <x:v>Alta</x:v>
      </x:c>
      <x:c r="U78" s="39" t="str">
        <x:v>Enriquecido</x:v>
      </x:c>
      <x:c r="V78" s="39" t="str"/>
    </x:row>
    <x:row r="79" ht="40" customHeight="1">
      <x:c r="A79" s="39" t="str">
        <x:v>PER0078</x:v>
      </x:c>
      <x:c r="B79" s="39" t="str">
        <x:v>INV010</x:v>
      </x:c>
      <x:c r="C79" s="39" t="str">
        <x:v>Creandum</x:v>
      </x:c>
      <x:c r="D79" s="39" t="str">
        <x:v>Sarah Otter</x:v>
      </x:c>
      <x:c r="E79" s="39" t="str">
        <x:v>Investment Team</x:v>
      </x:c>
      <x:c r="F79" s="39" t="str">
        <x:v>Rever</x:v>
      </x:c>
      <x:c r="G79" s="39" t="str">
        <x:v>Equipa de investimento</x:v>
      </x:c>
      <x:c r="H79" s="39" t="str">
        <x:v>Londres</x:v>
      </x:c>
      <x:c r="I79" s="39" t="str">
        <x:v>Technology</x:v>
      </x:c>
      <x:c r="J79" s="39" t="str">
        <x:v>Early stage</x:v>
      </x:c>
      <x:c r="K79" s="39" t="str"/>
      <x:c r="L79" s="39" t="str"/>
      <x:c r="M79" s="39" t="str"/>
      <x:c r="N79" s="39" t="str"/>
      <x:c r="O79" s="39" t="str">
        <x:v>https://creandum.com/team/</x:v>
      </x:c>
      <x:c r="P79" s="39" t="str">
        <x:v>Referir a tese setorial pessoal e demonstrar aprendizagem rápida no problema.</x:v>
      </x:c>
      <x:c r="Q79" s="39" t="str">
        <x:v>Perfis públicos detalham interesses e experiências individuais.</x:v>
      </x:c>
      <x:c r="R79" s="39" t="str">
        <x:v>https://creandum.com/team/</x:v>
      </x:c>
      <x:c r="S79" s="44" t="str">
        <x:v>2026-09-09</x:v>
      </x:c>
      <x:c r="T79" s="39" t="str">
        <x:v>Alta</x:v>
      </x:c>
      <x:c r="U79" s="39" t="str">
        <x:v>Base</x:v>
      </x:c>
      <x:c r="V79" s="39" t="str"/>
    </x:row>
    <x:row r="80" ht="40" customHeight="1">
      <x:c r="A80" s="39" t="str">
        <x:v>PER0079</x:v>
      </x:c>
      <x:c r="B80" s="39" t="str">
        <x:v>INV010</x:v>
      </x:c>
      <x:c r="C80" s="39" t="str">
        <x:v>Creandum</x:v>
      </x:c>
      <x:c r="D80" s="39" t="str">
        <x:v>Maria Raga</x:v>
      </x:c>
      <x:c r="E80" s="39" t="str">
        <x:v>Venture Partner</x:v>
      </x:c>
      <x:c r="F80" s="39" t="str">
        <x:v>Rever</x:v>
      </x:c>
      <x:c r="G80" s="39" t="str">
        <x:v>Influenciador</x:v>
      </x:c>
      <x:c r="H80" s="39" t="str">
        <x:v>Londres</x:v>
      </x:c>
      <x:c r="I80" s="39" t="str">
        <x:v>Consumer; brand; company building</x:v>
      </x:c>
      <x:c r="J80" s="39" t="str">
        <x:v>Early stage</x:v>
      </x:c>
      <x:c r="K80" s="39" t="str"/>
      <x:c r="L80" s="39" t="str"/>
      <x:c r="M80" s="39" t="str"/>
      <x:c r="N80" s="39" t="str"/>
      <x:c r="O80" s="39" t="str">
        <x:v>https://creandum.com/team/</x:v>
      </x:c>
      <x:c r="P80" s="39" t="str">
        <x:v>Referir a tese setorial pessoal e demonstrar aprendizagem rápida no problema.</x:v>
      </x:c>
      <x:c r="Q80" s="39" t="str">
        <x:v>Perfis públicos detalham interesses e experiências individuais.</x:v>
      </x:c>
      <x:c r="R80" s="39" t="str">
        <x:v>https://creandum.com/team/</x:v>
      </x:c>
      <x:c r="S80" s="44" t="str">
        <x:v>2026-09-09</x:v>
      </x:c>
      <x:c r="T80" s="39" t="str">
        <x:v>Alta</x:v>
      </x:c>
      <x:c r="U80" s="39" t="str">
        <x:v>Enriquecido</x:v>
      </x:c>
      <x:c r="V80" s="39" t="str"/>
    </x:row>
    <x:row r="81" ht="40" customHeight="1">
      <x:c r="A81" s="39" t="str">
        <x:v>PER0080</x:v>
      </x:c>
      <x:c r="B81" s="39" t="str">
        <x:v>INV011</x:v>
      </x:c>
      <x:c r="C81" s="39" t="str">
        <x:v>Northzone</x:v>
      </x:c>
      <x:c r="D81" s="39" t="str">
        <x:v>Jeppe Zink</x:v>
      </x:c>
      <x:c r="E81" s="39" t="str">
        <x:v>Partner</x:v>
      </x:c>
      <x:c r="F81" s="39" t="str">
        <x:v>Sim</x:v>
      </x:c>
      <x:c r="G81" s="39" t="str">
        <x:v>Decisor</x:v>
      </x:c>
      <x:c r="H81" s="39" t="str">
        <x:v>Londres</x:v>
      </x:c>
      <x:c r="I81" s="39" t="str">
        <x:v>Enterprise; fintech</x:v>
      </x:c>
      <x:c r="J81" s="39" t="str">
        <x:v>Early stage; Growth</x:v>
      </x:c>
      <x:c r="K81" s="39" t="str"/>
      <x:c r="L81" s="39" t="str"/>
      <x:c r="M81" s="39" t="str"/>
      <x:c r="N81" s="39" t="str"/>
      <x:c r="O81" s="39" t="str">
        <x:v>https://northzone.com/team</x:v>
      </x:c>
      <x:c r="P81" s="39" t="str">
        <x:v>Apresentar uma hipótese explícita sobre a mudança estrutural que cria a oportunidade.</x:v>
      </x:c>
      <x:c r="Q81" s="39" t="str">
        <x:v>Northzone descreve abordagem hypothesis-led em conteúdos e perfis.</x:v>
      </x:c>
      <x:c r="R81" s="39" t="str">
        <x:v>https://northzone.com/team</x:v>
      </x:c>
      <x:c r="S81" s="44" t="str">
        <x:v>2026-09-09</x:v>
      </x:c>
      <x:c r="T81" s="39" t="str">
        <x:v>Alta</x:v>
      </x:c>
      <x:c r="U81" s="39" t="str">
        <x:v>Base</x:v>
      </x:c>
      <x:c r="V81" s="39" t="str"/>
    </x:row>
    <x:row r="82" ht="40" customHeight="1">
      <x:c r="A82" s="39" t="str">
        <x:v>PER0081</x:v>
      </x:c>
      <x:c r="B82" s="39" t="str">
        <x:v>INV011</x:v>
      </x:c>
      <x:c r="C82" s="39" t="str">
        <x:v>Northzone</x:v>
      </x:c>
      <x:c r="D82" s="39" t="str">
        <x:v>Jessica Schultz</x:v>
      </x:c>
      <x:c r="E82" s="39" t="str">
        <x:v>Partner</x:v>
      </x:c>
      <x:c r="F82" s="39" t="str">
        <x:v>Sim</x:v>
      </x:c>
      <x:c r="G82" s="39" t="str">
        <x:v>Decisor</x:v>
      </x:c>
      <x:c r="H82" s="39" t="str">
        <x:v>Estocolmo</x:v>
      </x:c>
      <x:c r="I82" s="39" t="str">
        <x:v>Consumer; health</x:v>
      </x:c>
      <x:c r="J82" s="39" t="str">
        <x:v>Early stage; Growth</x:v>
      </x:c>
      <x:c r="K82" s="39" t="str"/>
      <x:c r="L82" s="39" t="str"/>
      <x:c r="M82" s="39" t="str"/>
      <x:c r="N82" s="39" t="str"/>
      <x:c r="O82" s="39" t="str">
        <x:v>https://northzone.com/team</x:v>
      </x:c>
      <x:c r="P82" s="39" t="str">
        <x:v>Apresentar uma hipótese explícita sobre a mudança estrutural que cria a oportunidade.</x:v>
      </x:c>
      <x:c r="Q82" s="39" t="str">
        <x:v>Northzone descreve abordagem hypothesis-led em conteúdos e perfis.</x:v>
      </x:c>
      <x:c r="R82" s="39" t="str">
        <x:v>https://northzone.com/team</x:v>
      </x:c>
      <x:c r="S82" s="44" t="str">
        <x:v>2026-09-09</x:v>
      </x:c>
      <x:c r="T82" s="39" t="str">
        <x:v>Alta</x:v>
      </x:c>
      <x:c r="U82" s="39" t="str">
        <x:v>Base</x:v>
      </x:c>
      <x:c r="V82" s="39" t="str"/>
    </x:row>
    <x:row r="83" ht="40" customHeight="1">
      <x:c r="A83" s="39" t="str">
        <x:v>PER0082</x:v>
      </x:c>
      <x:c r="B83" s="39" t="str">
        <x:v>INV011</x:v>
      </x:c>
      <x:c r="C83" s="39" t="str">
        <x:v>Northzone</x:v>
      </x:c>
      <x:c r="D83" s="39" t="str">
        <x:v>Michiel Kotting</x:v>
      </x:c>
      <x:c r="E83" s="39" t="str">
        <x:v>Partner</x:v>
      </x:c>
      <x:c r="F83" s="39" t="str">
        <x:v>Sim</x:v>
      </x:c>
      <x:c r="G83" s="39" t="str">
        <x:v>Decisor</x:v>
      </x:c>
      <x:c r="H83" s="39" t="str">
        <x:v>Amesterdão</x:v>
      </x:c>
      <x:c r="I83" s="39" t="str">
        <x:v>Enterprise software; AI</x:v>
      </x:c>
      <x:c r="J83" s="39" t="str">
        <x:v>Early stage; Growth</x:v>
      </x:c>
      <x:c r="K83" s="39" t="str"/>
      <x:c r="L83" s="39" t="str"/>
      <x:c r="M83" s="39" t="str"/>
      <x:c r="N83" s="39" t="str"/>
      <x:c r="O83" s="39" t="str">
        <x:v>https://northzone.com/team</x:v>
      </x:c>
      <x:c r="P83" s="39" t="str">
        <x:v>Apresentar uma hipótese explícita sobre a mudança estrutural que cria a oportunidade.</x:v>
      </x:c>
      <x:c r="Q83" s="39" t="str">
        <x:v>Northzone descreve abordagem hypothesis-led em conteúdos e perfis.</x:v>
      </x:c>
      <x:c r="R83" s="39" t="str">
        <x:v>https://northzone.com/team</x:v>
      </x:c>
      <x:c r="S83" s="44" t="str">
        <x:v>2026-09-09</x:v>
      </x:c>
      <x:c r="T83" s="39" t="str">
        <x:v>Alta</x:v>
      </x:c>
      <x:c r="U83" s="39" t="str">
        <x:v>Base</x:v>
      </x:c>
      <x:c r="V83" s="39" t="str"/>
    </x:row>
    <x:row r="84" ht="40" customHeight="1">
      <x:c r="A84" s="39" t="str">
        <x:v>PER0083</x:v>
      </x:c>
      <x:c r="B84" s="39" t="str">
        <x:v>INV011</x:v>
      </x:c>
      <x:c r="C84" s="39" t="str">
        <x:v>Northzone</x:v>
      </x:c>
      <x:c r="D84" s="39" t="str">
        <x:v>Pär-Jörgen Pärson</x:v>
      </x:c>
      <x:c r="E84" s="39" t="str">
        <x:v>Partner</x:v>
      </x:c>
      <x:c r="F84" s="39" t="str">
        <x:v>Sim</x:v>
      </x:c>
      <x:c r="G84" s="39" t="str">
        <x:v>Decisor</x:v>
      </x:c>
      <x:c r="H84" s="39" t="str">
        <x:v>Estocolmo / Nova Iorque</x:v>
      </x:c>
      <x:c r="I84" s="39" t="str">
        <x:v>Energy transition; health; consumer; AI</x:v>
      </x:c>
      <x:c r="J84" s="39" t="str">
        <x:v>Early stage; Growth</x:v>
      </x:c>
      <x:c r="K84" s="39" t="str"/>
      <x:c r="L84" s="39" t="str"/>
      <x:c r="M84" s="39" t="str"/>
      <x:c r="N84" s="39" t="str"/>
      <x:c r="O84" s="39" t="str">
        <x:v>https://northzone.com/team</x:v>
      </x:c>
      <x:c r="P84" s="39" t="str">
        <x:v>Apresentar uma hipótese explícita sobre a mudança estrutural que cria a oportunidade.</x:v>
      </x:c>
      <x:c r="Q84" s="39" t="str">
        <x:v>Northzone descreve abordagem hypothesis-led em conteúdos e perfis.</x:v>
      </x:c>
      <x:c r="R84" s="39" t="str">
        <x:v>https://northzone.com/team</x:v>
      </x:c>
      <x:c r="S84" s="44" t="str">
        <x:v>2026-09-09</x:v>
      </x:c>
      <x:c r="T84" s="39" t="str">
        <x:v>Alta</x:v>
      </x:c>
      <x:c r="U84" s="39" t="str">
        <x:v>Enriquecido</x:v>
      </x:c>
      <x:c r="V84" s="39" t="str"/>
    </x:row>
    <x:row r="85" ht="40" customHeight="1">
      <x:c r="A85" s="39" t="str">
        <x:v>PER0084</x:v>
      </x:c>
      <x:c r="B85" s="39" t="str">
        <x:v>INV011</x:v>
      </x:c>
      <x:c r="C85" s="39" t="str">
        <x:v>Northzone</x:v>
      </x:c>
      <x:c r="D85" s="39" t="str">
        <x:v>Sam Endacott</x:v>
      </x:c>
      <x:c r="E85" s="39" t="str">
        <x:v>Partner</x:v>
      </x:c>
      <x:c r="F85" s="39" t="str">
        <x:v>Sim</x:v>
      </x:c>
      <x:c r="G85" s="39" t="str">
        <x:v>Decisor</x:v>
      </x:c>
      <x:c r="H85" s="39" t="str">
        <x:v>Londres</x:v>
      </x:c>
      <x:c r="I85" s="39" t="str">
        <x:v>Consumer; software</x:v>
      </x:c>
      <x:c r="J85" s="39" t="str">
        <x:v>Early stage; Growth</x:v>
      </x:c>
      <x:c r="K85" s="39" t="str"/>
      <x:c r="L85" s="39" t="str"/>
      <x:c r="M85" s="39" t="str"/>
      <x:c r="N85" s="39" t="str"/>
      <x:c r="O85" s="39" t="str">
        <x:v>https://northzone.com/team</x:v>
      </x:c>
      <x:c r="P85" s="39" t="str">
        <x:v>Apresentar uma hipótese explícita sobre a mudança estrutural que cria a oportunidade.</x:v>
      </x:c>
      <x:c r="Q85" s="39" t="str">
        <x:v>Northzone descreve abordagem hypothesis-led em conteúdos e perfis.</x:v>
      </x:c>
      <x:c r="R85" s="39" t="str">
        <x:v>https://northzone.com/team</x:v>
      </x:c>
      <x:c r="S85" s="44" t="str">
        <x:v>2026-09-09</x:v>
      </x:c>
      <x:c r="T85" s="39" t="str">
        <x:v>Alta</x:v>
      </x:c>
      <x:c r="U85" s="39" t="str">
        <x:v>Base</x:v>
      </x:c>
      <x:c r="V85" s="39" t="str"/>
    </x:row>
    <x:row r="86" ht="40" customHeight="1">
      <x:c r="A86" s="39" t="str">
        <x:v>PER0085</x:v>
      </x:c>
      <x:c r="B86" s="39" t="str">
        <x:v>INV011</x:v>
      </x:c>
      <x:c r="C86" s="39" t="str">
        <x:v>Northzone</x:v>
      </x:c>
      <x:c r="D86" s="39" t="str">
        <x:v>Sanjot Malhi</x:v>
      </x:c>
      <x:c r="E86" s="39" t="str">
        <x:v>Partner</x:v>
      </x:c>
      <x:c r="F86" s="39" t="str">
        <x:v>Sim</x:v>
      </x:c>
      <x:c r="G86" s="39" t="str">
        <x:v>Decisor</x:v>
      </x:c>
      <x:c r="H86" s="39" t="str">
        <x:v>Londres</x:v>
      </x:c>
      <x:c r="I86" s="39" t="str">
        <x:v>Growth; AI; fintech; software</x:v>
      </x:c>
      <x:c r="J86" s="39" t="str">
        <x:v>Early stage; Growth</x:v>
      </x:c>
      <x:c r="K86" s="39" t="str"/>
      <x:c r="L86" s="39" t="str"/>
      <x:c r="M86" s="39" t="str"/>
      <x:c r="N86" s="39" t="str"/>
      <x:c r="O86" s="39" t="str">
        <x:v>https://northzone.com/team</x:v>
      </x:c>
      <x:c r="P86" s="39" t="str">
        <x:v>Apresentar uma hipótese explícita sobre a mudança estrutural que cria a oportunidade.</x:v>
      </x:c>
      <x:c r="Q86" s="39" t="str">
        <x:v>Northzone descreve abordagem hypothesis-led em conteúdos e perfis.</x:v>
      </x:c>
      <x:c r="R86" s="39" t="str">
        <x:v>https://northzone.com/team</x:v>
      </x:c>
      <x:c r="S86" s="44" t="str">
        <x:v>2026-09-09</x:v>
      </x:c>
      <x:c r="T86" s="39" t="str">
        <x:v>Alta</x:v>
      </x:c>
      <x:c r="U86" s="39" t="str">
        <x:v>Enriquecido</x:v>
      </x:c>
      <x:c r="V86" s="39" t="str"/>
    </x:row>
    <x:row r="87" ht="40" customHeight="1">
      <x:c r="A87" s="39" t="str">
        <x:v>PER0086</x:v>
      </x:c>
      <x:c r="B87" s="39" t="str">
        <x:v>INV011</x:v>
      </x:c>
      <x:c r="C87" s="39" t="str">
        <x:v>Northzone</x:v>
      </x:c>
      <x:c r="D87" s="39" t="str">
        <x:v>Wendy Xiao</x:v>
      </x:c>
      <x:c r="E87" s="39" t="str">
        <x:v>Partner</x:v>
      </x:c>
      <x:c r="F87" s="39" t="str">
        <x:v>Sim</x:v>
      </x:c>
      <x:c r="G87" s="39" t="str">
        <x:v>Decisor</x:v>
      </x:c>
      <x:c r="H87" s="39" t="str">
        <x:v>Nova Iorque</x:v>
      </x:c>
      <x:c r="I87" s="39" t="str">
        <x:v>Health; enterprise</x:v>
      </x:c>
      <x:c r="J87" s="39" t="str">
        <x:v>Early stage; Growth</x:v>
      </x:c>
      <x:c r="K87" s="39" t="str"/>
      <x:c r="L87" s="39" t="str"/>
      <x:c r="M87" s="39" t="str"/>
      <x:c r="N87" s="39" t="str"/>
      <x:c r="O87" s="39" t="str">
        <x:v>https://northzone.com/team</x:v>
      </x:c>
      <x:c r="P87" s="39" t="str">
        <x:v>Apresentar uma hipótese explícita sobre a mudança estrutural que cria a oportunidade.</x:v>
      </x:c>
      <x:c r="Q87" s="39" t="str">
        <x:v>Northzone descreve abordagem hypothesis-led em conteúdos e perfis.</x:v>
      </x:c>
      <x:c r="R87" s="39" t="str">
        <x:v>https://northzone.com/team</x:v>
      </x:c>
      <x:c r="S87" s="44" t="str">
        <x:v>2026-09-09</x:v>
      </x:c>
      <x:c r="T87" s="39" t="str">
        <x:v>Alta</x:v>
      </x:c>
      <x:c r="U87" s="39" t="str">
        <x:v>Base</x:v>
      </x:c>
      <x:c r="V87" s="39" t="str"/>
    </x:row>
    <x:row r="88" ht="40" customHeight="1">
      <x:c r="A88" s="39" t="str">
        <x:v>PER0087</x:v>
      </x:c>
      <x:c r="B88" s="39" t="str">
        <x:v>INV011</x:v>
      </x:c>
      <x:c r="C88" s="39" t="str">
        <x:v>Northzone</x:v>
      </x:c>
      <x:c r="D88" s="39" t="str">
        <x:v>Molly Alter</x:v>
      </x:c>
      <x:c r="E88" s="39" t="str">
        <x:v>Partner</x:v>
      </x:c>
      <x:c r="F88" s="39" t="str">
        <x:v>Sim</x:v>
      </x:c>
      <x:c r="G88" s="39" t="str">
        <x:v>Decisor</x:v>
      </x:c>
      <x:c r="H88" s="39" t="str">
        <x:v>Nova Iorque</x:v>
      </x:c>
      <x:c r="I88" s="39" t="str">
        <x:v>Consumer; fintech</x:v>
      </x:c>
      <x:c r="J88" s="39" t="str">
        <x:v>Early stage; Growth</x:v>
      </x:c>
      <x:c r="K88" s="39" t="str"/>
      <x:c r="L88" s="39" t="str"/>
      <x:c r="M88" s="39" t="str"/>
      <x:c r="N88" s="39" t="str"/>
      <x:c r="O88" s="39" t="str">
        <x:v>https://northzone.com/team</x:v>
      </x:c>
      <x:c r="P88" s="39" t="str">
        <x:v>Apresentar uma hipótese explícita sobre a mudança estrutural que cria a oportunidade.</x:v>
      </x:c>
      <x:c r="Q88" s="39" t="str">
        <x:v>Northzone descreve abordagem hypothesis-led em conteúdos e perfis.</x:v>
      </x:c>
      <x:c r="R88" s="39" t="str">
        <x:v>https://northzone.com/team</x:v>
      </x:c>
      <x:c r="S88" s="44" t="str">
        <x:v>2026-09-09</x:v>
      </x:c>
      <x:c r="T88" s="39" t="str">
        <x:v>Alta</x:v>
      </x:c>
      <x:c r="U88" s="39" t="str">
        <x:v>Base</x:v>
      </x:c>
      <x:c r="V88" s="39" t="str"/>
    </x:row>
    <x:row r="89" ht="40" customHeight="1">
      <x:c r="A89" s="39" t="str">
        <x:v>PER0088</x:v>
      </x:c>
      <x:c r="B89" s="39" t="str">
        <x:v>INV011</x:v>
      </x:c>
      <x:c r="C89" s="39" t="str">
        <x:v>Northzone</x:v>
      </x:c>
      <x:c r="D89" s="39" t="str">
        <x:v>Elena Pantazi</x:v>
      </x:c>
      <x:c r="E89" s="39" t="str">
        <x:v>Partner &amp; Head of Platform</x:v>
      </x:c>
      <x:c r="F89" s="39" t="str">
        <x:v>Rever</x:v>
      </x:c>
      <x:c r="G89" s="39" t="str">
        <x:v>Influenciador</x:v>
      </x:c>
      <x:c r="H89" s="39" t="str">
        <x:v>Londres</x:v>
      </x:c>
      <x:c r="I89" s="39" t="str">
        <x:v>Platform; portfolio support</x:v>
      </x:c>
      <x:c r="J89" s="39" t="str">
        <x:v>Early stage; Growth</x:v>
      </x:c>
      <x:c r="K89" s="39" t="str"/>
      <x:c r="L89" s="39" t="str"/>
      <x:c r="M89" s="39" t="str"/>
      <x:c r="N89" s="39" t="str"/>
      <x:c r="O89" s="39" t="str">
        <x:v>https://northzone.com/team</x:v>
      </x:c>
      <x:c r="P89" s="39" t="str">
        <x:v>Apresentar uma hipótese explícita sobre a mudança estrutural que cria a oportunidade.</x:v>
      </x:c>
      <x:c r="Q89" s="39" t="str">
        <x:v>Northzone descreve abordagem hypothesis-led em conteúdos e perfis.</x:v>
      </x:c>
      <x:c r="R89" s="39" t="str">
        <x:v>https://northzone.com/team</x:v>
      </x:c>
      <x:c r="S89" s="44" t="str">
        <x:v>2026-09-09</x:v>
      </x:c>
      <x:c r="T89" s="39" t="str">
        <x:v>Alta</x:v>
      </x:c>
      <x:c r="U89" s="39" t="str">
        <x:v>Base</x:v>
      </x:c>
      <x:c r="V89" s="39" t="str"/>
    </x:row>
    <x:row r="90" ht="40" customHeight="1">
      <x:c r="A90" s="39" t="str">
        <x:v>PER0089</x:v>
      </x:c>
      <x:c r="B90" s="39" t="str">
        <x:v>INV011</x:v>
      </x:c>
      <x:c r="C90" s="39" t="str">
        <x:v>Northzone</x:v>
      </x:c>
      <x:c r="D90" s="39" t="str">
        <x:v>Dominik Esen</x:v>
      </x:c>
      <x:c r="E90" s="39" t="str">
        <x:v>Principal</x:v>
      </x:c>
      <x:c r="F90" s="39" t="str">
        <x:v>Rever</x:v>
      </x:c>
      <x:c r="G90" s="39" t="str">
        <x:v>Equipa de investimento</x:v>
      </x:c>
      <x:c r="H90" s="39" t="str">
        <x:v>Estocolmo</x:v>
      </x:c>
      <x:c r="I90" s="39" t="str">
        <x:v>Technology</x:v>
      </x:c>
      <x:c r="J90" s="39" t="str">
        <x:v>Early stage; Growth</x:v>
      </x:c>
      <x:c r="K90" s="39" t="str"/>
      <x:c r="L90" s="39" t="str"/>
      <x:c r="M90" s="39" t="str"/>
      <x:c r="N90" s="39" t="str"/>
      <x:c r="O90" s="39" t="str">
        <x:v>https://northzone.com/team</x:v>
      </x:c>
      <x:c r="P90" s="39" t="str">
        <x:v>Apresentar uma hipótese explícita sobre a mudança estrutural que cria a oportunidade.</x:v>
      </x:c>
      <x:c r="Q90" s="39" t="str">
        <x:v>Northzone descreve abordagem hypothesis-led em conteúdos e perfis.</x:v>
      </x:c>
      <x:c r="R90" s="39" t="str">
        <x:v>https://northzone.com/team</x:v>
      </x:c>
      <x:c r="S90" s="44" t="str">
        <x:v>2026-09-09</x:v>
      </x:c>
      <x:c r="T90" s="39" t="str">
        <x:v>Alta</x:v>
      </x:c>
      <x:c r="U90" s="39" t="str">
        <x:v>Base</x:v>
      </x:c>
      <x:c r="V90" s="39" t="str"/>
    </x:row>
    <x:row r="91" ht="40" customHeight="1">
      <x:c r="A91" s="39" t="str">
        <x:v>PER0090</x:v>
      </x:c>
      <x:c r="B91" s="39" t="str">
        <x:v>INV011</x:v>
      </x:c>
      <x:c r="C91" s="39" t="str">
        <x:v>Northzone</x:v>
      </x:c>
      <x:c r="D91" s="39" t="str">
        <x:v>Manavi Mehra</x:v>
      </x:c>
      <x:c r="E91" s="39" t="str">
        <x:v>Vice President</x:v>
      </x:c>
      <x:c r="F91" s="39" t="str">
        <x:v>Rever</x:v>
      </x:c>
      <x:c r="G91" s="39" t="str">
        <x:v>Equipa de investimento</x:v>
      </x:c>
      <x:c r="H91" s="39" t="str">
        <x:v>Londres</x:v>
      </x:c>
      <x:c r="I91" s="39" t="str">
        <x:v>Technology</x:v>
      </x:c>
      <x:c r="J91" s="39" t="str">
        <x:v>Early stage; Growth</x:v>
      </x:c>
      <x:c r="K91" s="39" t="str"/>
      <x:c r="L91" s="39" t="str"/>
      <x:c r="M91" s="39" t="str"/>
      <x:c r="N91" s="39" t="str"/>
      <x:c r="O91" s="39" t="str">
        <x:v>https://northzone.com/team</x:v>
      </x:c>
      <x:c r="P91" s="39" t="str">
        <x:v>Apresentar uma hipótese explícita sobre a mudança estrutural que cria a oportunidade.</x:v>
      </x:c>
      <x:c r="Q91" s="39" t="str">
        <x:v>Northzone descreve abordagem hypothesis-led em conteúdos e perfis.</x:v>
      </x:c>
      <x:c r="R91" s="39" t="str">
        <x:v>https://northzone.com/team</x:v>
      </x:c>
      <x:c r="S91" s="44" t="str">
        <x:v>2026-09-09</x:v>
      </x:c>
      <x:c r="T91" s="39" t="str">
        <x:v>Alta</x:v>
      </x:c>
      <x:c r="U91" s="39" t="str">
        <x:v>Base</x:v>
      </x:c>
      <x:c r="V91" s="39" t="str"/>
    </x:row>
    <x:row r="92" ht="40" customHeight="1">
      <x:c r="A92" s="39" t="str">
        <x:v>PER0091</x:v>
      </x:c>
      <x:c r="B92" s="39" t="str">
        <x:v>INV011</x:v>
      </x:c>
      <x:c r="C92" s="39" t="str">
        <x:v>Northzone</x:v>
      </x:c>
      <x:c r="D92" s="39" t="str">
        <x:v>Paul Murphy</x:v>
      </x:c>
      <x:c r="E92" s="39" t="str">
        <x:v>General Partner</x:v>
      </x:c>
      <x:c r="F92" s="39" t="str">
        <x:v>Sim</x:v>
      </x:c>
      <x:c r="G92" s="39" t="str">
        <x:v>Decisor</x:v>
      </x:c>
      <x:c r="H92" s="39" t="str">
        <x:v>Londres</x:v>
      </x:c>
      <x:c r="I92" s="39" t="str">
        <x:v>Consumer; entertainment; enterprise apps</x:v>
      </x:c>
      <x:c r="J92" s="39" t="str">
        <x:v>Early stage; Growth</x:v>
      </x:c>
      <x:c r="K92" s="39" t="str"/>
      <x:c r="L92" s="39" t="str"/>
      <x:c r="M92" s="39" t="str"/>
      <x:c r="N92" s="39" t="str"/>
      <x:c r="O92" s="39" t="str">
        <x:v>https://northzone.com/team</x:v>
      </x:c>
      <x:c r="P92" s="39" t="str">
        <x:v>Apresentar uma hipótese explícita sobre a mudança estrutural que cria a oportunidade.</x:v>
      </x:c>
      <x:c r="Q92" s="39" t="str">
        <x:v>Northzone descreve abordagem hypothesis-led em conteúdos e perfis.</x:v>
      </x:c>
      <x:c r="R92" s="39" t="str">
        <x:v>https://northzone.com/team</x:v>
      </x:c>
      <x:c r="S92" s="44" t="str">
        <x:v>2026-09-09</x:v>
      </x:c>
      <x:c r="T92" s="39" t="str">
        <x:v>Alta</x:v>
      </x:c>
      <x:c r="U92" s="39" t="str">
        <x:v>Enriquecido</x:v>
      </x:c>
      <x:c r="V92" s="39" t="str"/>
    </x:row>
    <x:row r="93" ht="40" customHeight="1">
      <x:c r="A93" s="39" t="str">
        <x:v>PER0092</x:v>
      </x:c>
      <x:c r="B93" s="39" t="str">
        <x:v>INV012</x:v>
      </x:c>
      <x:c r="C93" s="39" t="str">
        <x:v>Project A</x:v>
      </x:c>
      <x:c r="D93" s="39" t="str">
        <x:v>Anton Waitz</x:v>
      </x:c>
      <x:c r="E93" s="39" t="str">
        <x:v>General Partner</x:v>
      </x:c>
      <x:c r="F93" s="39" t="str">
        <x:v>Sim</x:v>
      </x:c>
      <x:c r="G93" s="39" t="str">
        <x:v>Decisor</x:v>
      </x:c>
      <x:c r="H93" s="39" t="str">
        <x:v>Berlim</x:v>
      </x:c>
      <x:c r="I93" s="39" t="str">
        <x:v>Venture investments</x:v>
      </x:c>
      <x:c r="J93" s="39" t="str">
        <x:v>Pre-seed; Seed; Series A</x:v>
      </x:c>
      <x:c r="K93" s="39" t="str"/>
      <x:c r="L93" s="39" t="str"/>
      <x:c r="M93" s="39" t="str"/>
      <x:c r="N93" s="39" t="str"/>
      <x:c r="O93" s="39" t="str">
        <x:v>https://www.project-a.com/team/</x:v>
      </x:c>
      <x:c r="P93" s="39" t="str">
        <x:v>Ligar o pedido de capital a um plano operacional específico onde a equipa da Project A acrescente valor.</x:v>
      </x:c>
      <x:c r="Q93" s="39" t="str">
        <x:v>Modelo público de VC operacional e áreas individuais.</x:v>
      </x:c>
      <x:c r="R93" s="39" t="str">
        <x:v>https://www.project-a.com/team/</x:v>
      </x:c>
      <x:c r="S93" s="44" t="str">
        <x:v>2026-09-09</x:v>
      </x:c>
      <x:c r="T93" s="39" t="str">
        <x:v>Alta</x:v>
      </x:c>
      <x:c r="U93" s="39" t="str">
        <x:v>Base</x:v>
      </x:c>
      <x:c r="V93" s="39" t="str"/>
    </x:row>
    <x:row r="94" ht="40" customHeight="1">
      <x:c r="A94" s="39" t="str">
        <x:v>PER0093</x:v>
      </x:c>
      <x:c r="B94" s="39" t="str">
        <x:v>INV012</x:v>
      </x:c>
      <x:c r="C94" s="39" t="str">
        <x:v>Project A</x:v>
      </x:c>
      <x:c r="D94" s="39" t="str">
        <x:v>Uwe Horstmann</x:v>
      </x:c>
      <x:c r="E94" s="39" t="str">
        <x:v>General Partner</x:v>
      </x:c>
      <x:c r="F94" s="39" t="str">
        <x:v>Sim</x:v>
      </x:c>
      <x:c r="G94" s="39" t="str">
        <x:v>Decisor</x:v>
      </x:c>
      <x:c r="H94" s="39" t="str">
        <x:v>Berlim</x:v>
      </x:c>
      <x:c r="I94" s="39" t="str">
        <x:v>Dealflow; venture investments</x:v>
      </x:c>
      <x:c r="J94" s="39" t="str">
        <x:v>Pre-seed; Seed; Series A</x:v>
      </x:c>
      <x:c r="K94" s="39" t="str"/>
      <x:c r="L94" s="39" t="str"/>
      <x:c r="M94" s="39" t="str"/>
      <x:c r="N94" s="39" t="str"/>
      <x:c r="O94" s="39" t="str">
        <x:v>https://www.project-a.com/team/</x:v>
      </x:c>
      <x:c r="P94" s="39" t="str">
        <x:v>Ligar o pedido de capital a um plano operacional específico onde a equipa da Project A acrescente valor.</x:v>
      </x:c>
      <x:c r="Q94" s="39" t="str">
        <x:v>Modelo público de VC operacional e áreas individuais.</x:v>
      </x:c>
      <x:c r="R94" s="39" t="str">
        <x:v>https://www.project-a.com/team/</x:v>
      </x:c>
      <x:c r="S94" s="44" t="str">
        <x:v>2026-09-09</x:v>
      </x:c>
      <x:c r="T94" s="39" t="str">
        <x:v>Alta</x:v>
      </x:c>
      <x:c r="U94" s="39" t="str">
        <x:v>Enriquecido</x:v>
      </x:c>
      <x:c r="V94" s="39" t="str"/>
    </x:row>
    <x:row r="95" ht="40" customHeight="1">
      <x:c r="A95" s="39" t="str">
        <x:v>PER0094</x:v>
      </x:c>
      <x:c r="B95" s="39" t="str">
        <x:v>INV012</x:v>
      </x:c>
      <x:c r="C95" s="39" t="str">
        <x:v>Project A</x:v>
      </x:c>
      <x:c r="D95" s="39" t="str">
        <x:v>Florian Heinemann</x:v>
      </x:c>
      <x:c r="E95" s="39" t="str">
        <x:v>General Partner</x:v>
      </x:c>
      <x:c r="F95" s="39" t="str">
        <x:v>Sim</x:v>
      </x:c>
      <x:c r="G95" s="39" t="str">
        <x:v>Decisor</x:v>
      </x:c>
      <x:c r="H95" s="39" t="str">
        <x:v>Berlim</x:v>
      </x:c>
      <x:c r="I95" s="39" t="str">
        <x:v>Marketing; CRM; business intelligence</x:v>
      </x:c>
      <x:c r="J95" s="39" t="str">
        <x:v>Pre-seed; Seed; Series A</x:v>
      </x:c>
      <x:c r="K95" s="39" t="str"/>
      <x:c r="L95" s="39" t="str"/>
      <x:c r="M95" s="39" t="str"/>
      <x:c r="N95" s="39" t="str"/>
      <x:c r="O95" s="39" t="str">
        <x:v>https://www.project-a.com/team/</x:v>
      </x:c>
      <x:c r="P95" s="39" t="str">
        <x:v>Ligar o pedido de capital a um plano operacional específico onde a equipa da Project A acrescente valor.</x:v>
      </x:c>
      <x:c r="Q95" s="39" t="str">
        <x:v>Modelo público de VC operacional e áreas individuais.</x:v>
      </x:c>
      <x:c r="R95" s="39" t="str">
        <x:v>https://www.project-a.com/team/</x:v>
      </x:c>
      <x:c r="S95" s="44" t="str">
        <x:v>2026-09-09</x:v>
      </x:c>
      <x:c r="T95" s="39" t="str">
        <x:v>Alta</x:v>
      </x:c>
      <x:c r="U95" s="39" t="str">
        <x:v>Enriquecido</x:v>
      </x:c>
      <x:c r="V95" s="39" t="str"/>
    </x:row>
    <x:row r="96" ht="40" customHeight="1">
      <x:c r="A96" s="39" t="str">
        <x:v>PER0095</x:v>
      </x:c>
      <x:c r="B96" s="39" t="str">
        <x:v>INV012</x:v>
      </x:c>
      <x:c r="C96" s="39" t="str">
        <x:v>Project A</x:v>
      </x:c>
      <x:c r="D96" s="39" t="str">
        <x:v>Thies Sander</x:v>
      </x:c>
      <x:c r="E96" s="39" t="str">
        <x:v>General Partner</x:v>
      </x:c>
      <x:c r="F96" s="39" t="str">
        <x:v>Sim</x:v>
      </x:c>
      <x:c r="G96" s="39" t="str">
        <x:v>Decisor</x:v>
      </x:c>
      <x:c r="H96" s="39" t="str">
        <x:v>Berlim</x:v>
      </x:c>
      <x:c r="I96" s="39" t="str">
        <x:v>Investor relations; company building</x:v>
      </x:c>
      <x:c r="J96" s="39" t="str">
        <x:v>Pre-seed; Seed; Series A</x:v>
      </x:c>
      <x:c r="K96" s="39" t="str"/>
      <x:c r="L96" s="39" t="str"/>
      <x:c r="M96" s="39" t="str"/>
      <x:c r="N96" s="39" t="str"/>
      <x:c r="O96" s="39" t="str">
        <x:v>https://www.project-a.com/team/</x:v>
      </x:c>
      <x:c r="P96" s="39" t="str">
        <x:v>Ligar o pedido de capital a um plano operacional específico onde a equipa da Project A acrescente valor.</x:v>
      </x:c>
      <x:c r="Q96" s="39" t="str">
        <x:v>Modelo público de VC operacional e áreas individuais.</x:v>
      </x:c>
      <x:c r="R96" s="39" t="str">
        <x:v>https://www.project-a.com/team/</x:v>
      </x:c>
      <x:c r="S96" s="44" t="str">
        <x:v>2026-09-09</x:v>
      </x:c>
      <x:c r="T96" s="39" t="str">
        <x:v>Alta</x:v>
      </x:c>
      <x:c r="U96" s="39" t="str">
        <x:v>Base</x:v>
      </x:c>
      <x:c r="V96" s="39" t="str"/>
    </x:row>
    <x:row r="97" ht="40" customHeight="1">
      <x:c r="A97" s="39" t="str">
        <x:v>PER0096</x:v>
      </x:c>
      <x:c r="B97" s="39" t="str">
        <x:v>INV012</x:v>
      </x:c>
      <x:c r="C97" s="39" t="str">
        <x:v>Project A</x:v>
      </x:c>
      <x:c r="D97" s="39" t="str">
        <x:v>Ben Fischer</x:v>
      </x:c>
      <x:c r="E97" s="39" t="str">
        <x:v>General Partner</x:v>
      </x:c>
      <x:c r="F97" s="39" t="str">
        <x:v>Sim</x:v>
      </x:c>
      <x:c r="G97" s="39" t="str">
        <x:v>Decisor</x:v>
      </x:c>
      <x:c r="H97" s="39" t="str">
        <x:v>Berlim</x:v>
      </x:c>
      <x:c r="I97" s="39" t="str">
        <x:v>Operational support; finance; legal</x:v>
      </x:c>
      <x:c r="J97" s="39" t="str">
        <x:v>Pre-seed; Seed; Series A</x:v>
      </x:c>
      <x:c r="K97" s="39" t="str"/>
      <x:c r="L97" s="39" t="str"/>
      <x:c r="M97" s="39" t="str"/>
      <x:c r="N97" s="39" t="str"/>
      <x:c r="O97" s="39" t="str">
        <x:v>https://www.project-a.com/team/</x:v>
      </x:c>
      <x:c r="P97" s="39" t="str">
        <x:v>Ligar o pedido de capital a um plano operacional específico onde a equipa da Project A acrescente valor.</x:v>
      </x:c>
      <x:c r="Q97" s="39" t="str">
        <x:v>Modelo público de VC operacional e áreas individuais.</x:v>
      </x:c>
      <x:c r="R97" s="39" t="str">
        <x:v>https://www.project-a.com/team/</x:v>
      </x:c>
      <x:c r="S97" s="44" t="str">
        <x:v>2026-09-09</x:v>
      </x:c>
      <x:c r="T97" s="39" t="str">
        <x:v>Alta</x:v>
      </x:c>
      <x:c r="U97" s="39" t="str">
        <x:v>Base</x:v>
      </x:c>
      <x:c r="V97" s="39" t="str"/>
    </x:row>
    <x:row r="98" ht="40" customHeight="1">
      <x:c r="A98" s="39" t="str">
        <x:v>PER0097</x:v>
      </x:c>
      <x:c r="B98" s="39" t="str">
        <x:v>INV012</x:v>
      </x:c>
      <x:c r="C98" s="39" t="str">
        <x:v>Project A</x:v>
      </x:c>
      <x:c r="D98" s="39" t="str">
        <x:v>Jack Wang</x:v>
      </x:c>
      <x:c r="E98" s="39" t="str">
        <x:v>Partner &amp; MD UK</x:v>
      </x:c>
      <x:c r="F98" s="39" t="str">
        <x:v>Sim</x:v>
      </x:c>
      <x:c r="G98" s="39" t="str">
        <x:v>Decisor</x:v>
      </x:c>
      <x:c r="H98" s="39" t="str">
        <x:v>Londres</x:v>
      </x:c>
      <x:c r="I98" s="39" t="str">
        <x:v>Resilience &amp; Defence</x:v>
      </x:c>
      <x:c r="J98" s="39" t="str">
        <x:v>Pre-seed; Seed; Series A</x:v>
      </x:c>
      <x:c r="K98" s="39" t="str"/>
      <x:c r="L98" s="39" t="str"/>
      <x:c r="M98" s="39" t="str"/>
      <x:c r="N98" s="39" t="str"/>
      <x:c r="O98" s="39" t="str">
        <x:v>https://www.project-a.com/team/</x:v>
      </x:c>
      <x:c r="P98" s="39" t="str">
        <x:v>Ligar o pedido de capital a um plano operacional específico onde a equipa da Project A acrescente valor.</x:v>
      </x:c>
      <x:c r="Q98" s="39" t="str">
        <x:v>Modelo público de VC operacional e áreas individuais.</x:v>
      </x:c>
      <x:c r="R98" s="39" t="str">
        <x:v>https://www.project-a.com/team/</x:v>
      </x:c>
      <x:c r="S98" s="44" t="str">
        <x:v>2026-09-09</x:v>
      </x:c>
      <x:c r="T98" s="39" t="str">
        <x:v>Alta</x:v>
      </x:c>
      <x:c r="U98" s="39" t="str">
        <x:v>Base</x:v>
      </x:c>
      <x:c r="V98" s="39" t="str"/>
    </x:row>
    <x:row r="99" ht="40" customHeight="1">
      <x:c r="A99" s="39" t="str">
        <x:v>PER0098</x:v>
      </x:c>
      <x:c r="B99" s="39" t="str">
        <x:v>INV012</x:v>
      </x:c>
      <x:c r="C99" s="39" t="str">
        <x:v>Project A</x:v>
      </x:c>
      <x:c r="D99" s="39" t="str">
        <x:v>Malin Posern</x:v>
      </x:c>
      <x:c r="E99" s="39" t="str">
        <x:v>Partner &amp; MD UK</x:v>
      </x:c>
      <x:c r="F99" s="39" t="str">
        <x:v>Sim</x:v>
      </x:c>
      <x:c r="G99" s="39" t="str">
        <x:v>Decisor</x:v>
      </x:c>
      <x:c r="H99" s="39" t="str">
        <x:v>Londres</x:v>
      </x:c>
      <x:c r="I99" s="39" t="str">
        <x:v>Financial Technology; consumer; SaaS</x:v>
      </x:c>
      <x:c r="J99" s="39" t="str">
        <x:v>Pre-seed; Seed; Series A</x:v>
      </x:c>
      <x:c r="K99" s="39" t="str"/>
      <x:c r="L99" s="39" t="str"/>
      <x:c r="M99" s="39" t="str"/>
      <x:c r="N99" s="39" t="str"/>
      <x:c r="O99" s="39" t="str">
        <x:v>https://www.project-a.com/team/</x:v>
      </x:c>
      <x:c r="P99" s="39" t="str">
        <x:v>Ligar o pedido de capital a um plano operacional específico onde a equipa da Project A acrescente valor.</x:v>
      </x:c>
      <x:c r="Q99" s="39" t="str">
        <x:v>Modelo público de VC operacional e áreas individuais.</x:v>
      </x:c>
      <x:c r="R99" s="39" t="str">
        <x:v>https://www.project-a.com/team/</x:v>
      </x:c>
      <x:c r="S99" s="44" t="str">
        <x:v>2026-09-09</x:v>
      </x:c>
      <x:c r="T99" s="39" t="str">
        <x:v>Alta</x:v>
      </x:c>
      <x:c r="U99" s="39" t="str">
        <x:v>Enriquecido</x:v>
      </x:c>
      <x:c r="V99" s="39" t="str"/>
    </x:row>
    <x:row r="100" ht="40" customHeight="1">
      <x:c r="A100" s="39" t="str">
        <x:v>PER0099</x:v>
      </x:c>
      <x:c r="B100" s="39" t="str">
        <x:v>INV012</x:v>
      </x:c>
      <x:c r="C100" s="39" t="str">
        <x:v>Project A</x:v>
      </x:c>
      <x:c r="D100" s="39" t="str">
        <x:v>Philipp Werner</x:v>
      </x:c>
      <x:c r="E100" s="39" t="str">
        <x:v>Partner</x:v>
      </x:c>
      <x:c r="F100" s="39" t="str">
        <x:v>Sim</x:v>
      </x:c>
      <x:c r="G100" s="39" t="str">
        <x:v>Decisor</x:v>
      </x:c>
      <x:c r="H100" s="39" t="str">
        <x:v>Colónia</x:v>
      </x:c>
      <x:c r="I100" s="39" t="str">
        <x:v>Supply chain; logistics; energy; construction; sales tech</x:v>
      </x:c>
      <x:c r="J100" s="39" t="str">
        <x:v>Pre-seed; Seed; Series A</x:v>
      </x:c>
      <x:c r="K100" s="39" t="str"/>
      <x:c r="L100" s="39" t="str"/>
      <x:c r="M100" s="39" t="str"/>
      <x:c r="N100" s="39" t="str"/>
      <x:c r="O100" s="39" t="str">
        <x:v>https://www.project-a.com/team/</x:v>
      </x:c>
      <x:c r="P100" s="39" t="str">
        <x:v>Ligar o pedido de capital a um plano operacional específico onde a equipa da Project A acrescente valor.</x:v>
      </x:c>
      <x:c r="Q100" s="39" t="str">
        <x:v>Modelo público de VC operacional e áreas individuais.</x:v>
      </x:c>
      <x:c r="R100" s="39" t="str">
        <x:v>https://www.project-a.com/team/</x:v>
      </x:c>
      <x:c r="S100" s="44" t="str">
        <x:v>2026-09-09</x:v>
      </x:c>
      <x:c r="T100" s="39" t="str">
        <x:v>Alta</x:v>
      </x:c>
      <x:c r="U100" s="39" t="str">
        <x:v>Enriquecido</x:v>
      </x:c>
      <x:c r="V100" s="39" t="str"/>
    </x:row>
    <x:row r="101" ht="40" customHeight="1">
      <x:c r="A101" s="39" t="str">
        <x:v>PER0100</x:v>
      </x:c>
      <x:c r="B101" s="39" t="str">
        <x:v>INV012</x:v>
      </x:c>
      <x:c r="C101" s="39" t="str">
        <x:v>Project A</x:v>
      </x:c>
      <x:c r="D101" s="39" t="str">
        <x:v>Mila Cramer</x:v>
      </x:c>
      <x:c r="E101" s="39" t="str">
        <x:v>Principal</x:v>
      </x:c>
      <x:c r="F101" s="39" t="str">
        <x:v>Rever</x:v>
      </x:c>
      <x:c r="G101" s="39" t="str">
        <x:v>Equipa de investimento</x:v>
      </x:c>
      <x:c r="H101" s="39" t="str">
        <x:v>Berlim</x:v>
      </x:c>
      <x:c r="I101" s="39" t="str">
        <x:v>Climate &amp; Energy</x:v>
      </x:c>
      <x:c r="J101" s="39" t="str">
        <x:v>Pre-seed; Seed; Series A</x:v>
      </x:c>
      <x:c r="K101" s="39" t="str"/>
      <x:c r="L101" s="39" t="str"/>
      <x:c r="M101" s="39" t="str"/>
      <x:c r="N101" s="39" t="str"/>
      <x:c r="O101" s="39" t="str">
        <x:v>https://www.project-a.com/team/</x:v>
      </x:c>
      <x:c r="P101" s="39" t="str">
        <x:v>Ligar o pedido de capital a um plano operacional específico onde a equipa da Project A acrescente valor.</x:v>
      </x:c>
      <x:c r="Q101" s="39" t="str">
        <x:v>Modelo público de VC operacional e áreas individuais.</x:v>
      </x:c>
      <x:c r="R101" s="39" t="str">
        <x:v>https://www.project-a.com/team/</x:v>
      </x:c>
      <x:c r="S101" s="44" t="str">
        <x:v>2026-09-09</x:v>
      </x:c>
      <x:c r="T101" s="39" t="str">
        <x:v>Alta</x:v>
      </x:c>
      <x:c r="U101" s="39" t="str">
        <x:v>Base</x:v>
      </x:c>
      <x:c r="V101" s="39" t="str"/>
    </x:row>
    <x:row r="102" ht="40" customHeight="1">
      <x:c r="A102" s="39" t="str">
        <x:v>PER0101</x:v>
      </x:c>
      <x:c r="B102" s="39" t="str">
        <x:v>INV012</x:v>
      </x:c>
      <x:c r="C102" s="39" t="str">
        <x:v>Project A</x:v>
      </x:c>
      <x:c r="D102" s="39" t="str">
        <x:v>Andrea Emanuelli</x:v>
      </x:c>
      <x:c r="E102" s="39" t="str">
        <x:v>Principal</x:v>
      </x:c>
      <x:c r="F102" s="39" t="str">
        <x:v>Rever</x:v>
      </x:c>
      <x:c r="G102" s="39" t="str">
        <x:v>Equipa de investimento</x:v>
      </x:c>
      <x:c r="H102" s="39" t="str">
        <x:v>Berlim</x:v>
      </x:c>
      <x:c r="I102" s="39" t="str">
        <x:v>Technology</x:v>
      </x:c>
      <x:c r="J102" s="39" t="str">
        <x:v>Pre-seed; Seed; Series A</x:v>
      </x:c>
      <x:c r="K102" s="39" t="str"/>
      <x:c r="L102" s="39" t="str"/>
      <x:c r="M102" s="39" t="str"/>
      <x:c r="N102" s="39" t="str"/>
      <x:c r="O102" s="39" t="str">
        <x:v>https://www.project-a.com/team/</x:v>
      </x:c>
      <x:c r="P102" s="39" t="str">
        <x:v>Ligar o pedido de capital a um plano operacional específico onde a equipa da Project A acrescente valor.</x:v>
      </x:c>
      <x:c r="Q102" s="39" t="str">
        <x:v>Modelo público de VC operacional e áreas individuais.</x:v>
      </x:c>
      <x:c r="R102" s="39" t="str">
        <x:v>https://www.project-a.com/team/</x:v>
      </x:c>
      <x:c r="S102" s="44" t="str">
        <x:v>2026-09-09</x:v>
      </x:c>
      <x:c r="T102" s="39" t="str">
        <x:v>Alta</x:v>
      </x:c>
      <x:c r="U102" s="39" t="str">
        <x:v>Base</x:v>
      </x:c>
      <x:c r="V102" s="39" t="str"/>
    </x:row>
    <x:row r="103" ht="40" customHeight="1">
      <x:c r="A103" s="39" t="str">
        <x:v>PER0102</x:v>
      </x:c>
      <x:c r="B103" s="39" t="str">
        <x:v>INV013</x:v>
      </x:c>
      <x:c r="C103" s="39" t="str">
        <x:v>Dawn Capital</x:v>
      </x:c>
      <x:c r="D103" s="39" t="str">
        <x:v>Josh Bell</x:v>
      </x:c>
      <x:c r="E103" s="39" t="str">
        <x:v>General Partner</x:v>
      </x:c>
      <x:c r="F103" s="39" t="str">
        <x:v>Sim</x:v>
      </x:c>
      <x:c r="G103" s="39" t="str">
        <x:v>Decisor</x:v>
      </x:c>
      <x:c r="H103" s="39" t="str">
        <x:v>Londres</x:v>
      </x:c>
      <x:c r="I103" s="39" t="str">
        <x:v>Fintech; financial software</x:v>
      </x:c>
      <x:c r="J103" s="39" t="str">
        <x:v>Series A; Series B</x:v>
      </x:c>
      <x:c r="K103" s="39" t="str"/>
      <x:c r="L103" s="39" t="str"/>
      <x:c r="M103" s="39" t="str"/>
      <x:c r="N103" s="39" t="str"/>
      <x:c r="O103" s="39" t="str">
        <x:v>https://www.dawncapital.com/team</x:v>
      </x:c>
      <x:c r="P103" s="39" t="str">
        <x:v>Referir o problema estrutural do cliente e por que uma mudança tecnológica torna a solução inevitável agora.</x:v>
      </x:c>
      <x:c r="Q103" s="39" t="str">
        <x:v>Bios dos partners descrevem tese, decisões e investimentos.</x:v>
      </x:c>
      <x:c r="R103" s="39" t="str">
        <x:v>https://www.dawncapital.com/team</x:v>
      </x:c>
      <x:c r="S103" s="44" t="str">
        <x:v>2026-09-09</x:v>
      </x:c>
      <x:c r="T103" s="39" t="str">
        <x:v>Alta</x:v>
      </x:c>
      <x:c r="U103" s="39" t="str">
        <x:v>Enriquecido</x:v>
      </x:c>
      <x:c r="V103" s="39" t="str"/>
    </x:row>
    <x:row r="104" ht="40" customHeight="1">
      <x:c r="A104" s="39" t="str">
        <x:v>PER0103</x:v>
      </x:c>
      <x:c r="B104" s="39" t="str">
        <x:v>INV013</x:v>
      </x:c>
      <x:c r="C104" s="39" t="str">
        <x:v>Dawn Capital</x:v>
      </x:c>
      <x:c r="D104" s="39" t="str">
        <x:v>Norman Fiore</x:v>
      </x:c>
      <x:c r="E104" s="39" t="str">
        <x:v>General Partner</x:v>
      </x:c>
      <x:c r="F104" s="39" t="str">
        <x:v>Sim</x:v>
      </x:c>
      <x:c r="G104" s="39" t="str">
        <x:v>Decisor</x:v>
      </x:c>
      <x:c r="H104" s="39" t="str">
        <x:v>Londres</x:v>
      </x:c>
      <x:c r="I104" s="39" t="str">
        <x:v>Automation; data; security; vertical software</x:v>
      </x:c>
      <x:c r="J104" s="39" t="str">
        <x:v>Series A; Series B</x:v>
      </x:c>
      <x:c r="K104" s="39" t="str"/>
      <x:c r="L104" s="39" t="str"/>
      <x:c r="M104" s="39" t="str"/>
      <x:c r="N104" s="39" t="str"/>
      <x:c r="O104" s="39" t="str">
        <x:v>https://www.dawncapital.com/team</x:v>
      </x:c>
      <x:c r="P104" s="39" t="str">
        <x:v>Referir o problema estrutural do cliente e por que uma mudança tecnológica torna a solução inevitável agora.</x:v>
      </x:c>
      <x:c r="Q104" s="39" t="str">
        <x:v>Bios dos partners descrevem tese, decisões e investimentos.</x:v>
      </x:c>
      <x:c r="R104" s="39" t="str">
        <x:v>https://www.dawncapital.com/team</x:v>
      </x:c>
      <x:c r="S104" s="44" t="str">
        <x:v>2026-09-09</x:v>
      </x:c>
      <x:c r="T104" s="39" t="str">
        <x:v>Alta</x:v>
      </x:c>
      <x:c r="U104" s="39" t="str">
        <x:v>Enriquecido</x:v>
      </x:c>
      <x:c r="V104" s="39" t="str"/>
    </x:row>
    <x:row r="105" ht="40" customHeight="1">
      <x:c r="A105" s="39" t="str">
        <x:v>PER0104</x:v>
      </x:c>
      <x:c r="B105" s="39" t="str">
        <x:v>INV013</x:v>
      </x:c>
      <x:c r="C105" s="39" t="str">
        <x:v>Dawn Capital</x:v>
      </x:c>
      <x:c r="D105" s="39" t="str">
        <x:v>Evgenia Plotnikova</x:v>
      </x:c>
      <x:c r="E105" s="39" t="str">
        <x:v>General Partner</x:v>
      </x:c>
      <x:c r="F105" s="39" t="str">
        <x:v>Sim</x:v>
      </x:c>
      <x:c r="G105" s="39" t="str">
        <x:v>Decisor</x:v>
      </x:c>
      <x:c r="H105" s="39" t="str">
        <x:v>Londres</x:v>
      </x:c>
      <x:c r="I105" s="39" t="str">
        <x:v>AI; infrastructure; automation</x:v>
      </x:c>
      <x:c r="J105" s="39" t="str">
        <x:v>Series A; Series B</x:v>
      </x:c>
      <x:c r="K105" s="39" t="str"/>
      <x:c r="L105" s="39" t="str"/>
      <x:c r="M105" s="39" t="str"/>
      <x:c r="N105" s="39" t="str"/>
      <x:c r="O105" s="39" t="str">
        <x:v>https://www.dawncapital.com/team</x:v>
      </x:c>
      <x:c r="P105" s="39" t="str">
        <x:v>Referir o problema estrutural do cliente e por que uma mudança tecnológica torna a solução inevitável agora.</x:v>
      </x:c>
      <x:c r="Q105" s="39" t="str">
        <x:v>Bios dos partners descrevem tese, decisões e investimentos.</x:v>
      </x:c>
      <x:c r="R105" s="39" t="str">
        <x:v>https://www.dawncapital.com/team</x:v>
      </x:c>
      <x:c r="S105" s="44" t="str">
        <x:v>2026-09-09</x:v>
      </x:c>
      <x:c r="T105" s="39" t="str">
        <x:v>Alta</x:v>
      </x:c>
      <x:c r="U105" s="39" t="str">
        <x:v>Enriquecido</x:v>
      </x:c>
      <x:c r="V105" s="39" t="str"/>
    </x:row>
    <x:row r="106" ht="40" customHeight="1">
      <x:c r="A106" s="39" t="str">
        <x:v>PER0105</x:v>
      </x:c>
      <x:c r="B106" s="39" t="str">
        <x:v>INV013</x:v>
      </x:c>
      <x:c r="C106" s="39" t="str">
        <x:v>Dawn Capital</x:v>
      </x:c>
      <x:c r="D106" s="39" t="str">
        <x:v>Haakon Overli</x:v>
      </x:c>
      <x:c r="E106" s="39" t="str">
        <x:v>General Partner</x:v>
      </x:c>
      <x:c r="F106" s="39" t="str">
        <x:v>Sim</x:v>
      </x:c>
      <x:c r="G106" s="39" t="str">
        <x:v>Decisor</x:v>
      </x:c>
      <x:c r="H106" s="39" t="str">
        <x:v>Londres</x:v>
      </x:c>
      <x:c r="I106" s="39" t="str">
        <x:v>B2B software</x:v>
      </x:c>
      <x:c r="J106" s="39" t="str">
        <x:v>Series A; Series B</x:v>
      </x:c>
      <x:c r="K106" s="39" t="str"/>
      <x:c r="L106" s="39" t="str"/>
      <x:c r="M106" s="39" t="str"/>
      <x:c r="N106" s="39" t="str"/>
      <x:c r="O106" s="39" t="str">
        <x:v>https://www.dawncapital.com/team</x:v>
      </x:c>
      <x:c r="P106" s="39" t="str">
        <x:v>Referir o problema estrutural do cliente e por que uma mudança tecnológica torna a solução inevitável agora.</x:v>
      </x:c>
      <x:c r="Q106" s="39" t="str">
        <x:v>Bios dos partners descrevem tese, decisões e investimentos.</x:v>
      </x:c>
      <x:c r="R106" s="39" t="str">
        <x:v>https://www.dawncapital.com/team</x:v>
      </x:c>
      <x:c r="S106" s="44" t="str">
        <x:v>2026-09-09</x:v>
      </x:c>
      <x:c r="T106" s="39" t="str">
        <x:v>Alta</x:v>
      </x:c>
      <x:c r="U106" s="39" t="str">
        <x:v>Base</x:v>
      </x:c>
      <x:c r="V106" s="39" t="str"/>
    </x:row>
    <x:row r="107" ht="40" customHeight="1">
      <x:c r="A107" s="39" t="str">
        <x:v>PER0106</x:v>
      </x:c>
      <x:c r="B107" s="39" t="str">
        <x:v>INV013</x:v>
      </x:c>
      <x:c r="C107" s="39" t="str">
        <x:v>Dawn Capital</x:v>
      </x:c>
      <x:c r="D107" s="39" t="str">
        <x:v>Shamillah Bankiya</x:v>
      </x:c>
      <x:c r="E107" s="39" t="str">
        <x:v>Partner</x:v>
      </x:c>
      <x:c r="F107" s="39" t="str">
        <x:v>Sim</x:v>
      </x:c>
      <x:c r="G107" s="39" t="str">
        <x:v>Decisor</x:v>
      </x:c>
      <x:c r="H107" s="39" t="str">
        <x:v>Londres</x:v>
      </x:c>
      <x:c r="I107" s="39" t="str">
        <x:v>AI; infrastructure; automation</x:v>
      </x:c>
      <x:c r="J107" s="39" t="str">
        <x:v>Series A; Series B</x:v>
      </x:c>
      <x:c r="K107" s="39" t="str"/>
      <x:c r="L107" s="39" t="str"/>
      <x:c r="M107" s="39" t="str"/>
      <x:c r="N107" s="39" t="str"/>
      <x:c r="O107" s="39" t="str">
        <x:v>https://www.dawncapital.com/team</x:v>
      </x:c>
      <x:c r="P107" s="39" t="str">
        <x:v>Referir o problema estrutural do cliente e por que uma mudança tecnológica torna a solução inevitável agora.</x:v>
      </x:c>
      <x:c r="Q107" s="39" t="str">
        <x:v>Bios dos partners descrevem tese, decisões e investimentos.</x:v>
      </x:c>
      <x:c r="R107" s="39" t="str">
        <x:v>https://www.dawncapital.com/team</x:v>
      </x:c>
      <x:c r="S107" s="44" t="str">
        <x:v>2026-09-09</x:v>
      </x:c>
      <x:c r="T107" s="39" t="str">
        <x:v>Alta</x:v>
      </x:c>
      <x:c r="U107" s="39" t="str">
        <x:v>Enriquecido</x:v>
      </x:c>
      <x:c r="V107" s="39" t="str"/>
    </x:row>
    <x:row r="108" ht="40" customHeight="1">
      <x:c r="A108" s="39" t="str">
        <x:v>PER0107</x:v>
      </x:c>
      <x:c r="B108" s="39" t="str">
        <x:v>INV013</x:v>
      </x:c>
      <x:c r="C108" s="39" t="str">
        <x:v>Dawn Capital</x:v>
      </x:c>
      <x:c r="D108" s="39" t="str">
        <x:v>Dan Chaplin</x:v>
      </x:c>
      <x:c r="E108" s="39" t="str">
        <x:v>Partner</x:v>
      </x:c>
      <x:c r="F108" s="39" t="str">
        <x:v>Sim</x:v>
      </x:c>
      <x:c r="G108" s="39" t="str">
        <x:v>Decisor</x:v>
      </x:c>
      <x:c r="H108" s="39" t="str">
        <x:v>Londres</x:v>
      </x:c>
      <x:c r="I108" s="39" t="str">
        <x:v>Automation; vertical software; fintech</x:v>
      </x:c>
      <x:c r="J108" s="39" t="str">
        <x:v>Series A; Series B</x:v>
      </x:c>
      <x:c r="K108" s="39" t="str"/>
      <x:c r="L108" s="39" t="str"/>
      <x:c r="M108" s="39" t="str"/>
      <x:c r="N108" s="39" t="str"/>
      <x:c r="O108" s="39" t="str">
        <x:v>https://www.dawncapital.com/team</x:v>
      </x:c>
      <x:c r="P108" s="39" t="str">
        <x:v>Referir o problema estrutural do cliente e por que uma mudança tecnológica torna a solução inevitável agora.</x:v>
      </x:c>
      <x:c r="Q108" s="39" t="str">
        <x:v>Bios dos partners descrevem tese, decisões e investimentos.</x:v>
      </x:c>
      <x:c r="R108" s="39" t="str">
        <x:v>https://www.dawncapital.com/team</x:v>
      </x:c>
      <x:c r="S108" s="44" t="str">
        <x:v>2026-09-09</x:v>
      </x:c>
      <x:c r="T108" s="39" t="str">
        <x:v>Alta</x:v>
      </x:c>
      <x:c r="U108" s="39" t="str">
        <x:v>Enriquecido</x:v>
      </x:c>
      <x:c r="V108" s="39" t="str"/>
    </x:row>
    <x:row r="109" ht="40" customHeight="1">
      <x:c r="A109" s="39" t="str">
        <x:v>PER0108</x:v>
      </x:c>
      <x:c r="B109" s="39" t="str">
        <x:v>INV013</x:v>
      </x:c>
      <x:c r="C109" s="39" t="str">
        <x:v>Dawn Capital</x:v>
      </x:c>
      <x:c r="D109" s="39" t="str">
        <x:v>Henry Mason</x:v>
      </x:c>
      <x:c r="E109" s="39" t="str">
        <x:v>Partner</x:v>
      </x:c>
      <x:c r="F109" s="39" t="str">
        <x:v>Sim</x:v>
      </x:c>
      <x:c r="G109" s="39" t="str">
        <x:v>Decisor</x:v>
      </x:c>
      <x:c r="H109" s="39" t="str">
        <x:v>Londres</x:v>
      </x:c>
      <x:c r="I109" s="39" t="str">
        <x:v>B2B software</x:v>
      </x:c>
      <x:c r="J109" s="39" t="str">
        <x:v>Series A; Series B</x:v>
      </x:c>
      <x:c r="K109" s="39" t="str"/>
      <x:c r="L109" s="39" t="str"/>
      <x:c r="M109" s="39" t="str"/>
      <x:c r="N109" s="39" t="str"/>
      <x:c r="O109" s="39" t="str">
        <x:v>https://www.dawncapital.com/team</x:v>
      </x:c>
      <x:c r="P109" s="39" t="str">
        <x:v>Referir o problema estrutural do cliente e por que uma mudança tecnológica torna a solução inevitável agora.</x:v>
      </x:c>
      <x:c r="Q109" s="39" t="str">
        <x:v>Bios dos partners descrevem tese, decisões e investimentos.</x:v>
      </x:c>
      <x:c r="R109" s="39" t="str">
        <x:v>https://www.dawncapital.com/team</x:v>
      </x:c>
      <x:c r="S109" s="44" t="str">
        <x:v>2026-09-09</x:v>
      </x:c>
      <x:c r="T109" s="39" t="str">
        <x:v>Alta</x:v>
      </x:c>
      <x:c r="U109" s="39" t="str">
        <x:v>Base</x:v>
      </x:c>
      <x:c r="V109" s="39" t="str"/>
    </x:row>
    <x:row r="110" ht="40" customHeight="1">
      <x:c r="A110" s="39" t="str">
        <x:v>PER0109</x:v>
      </x:c>
      <x:c r="B110" s="39" t="str">
        <x:v>INV013</x:v>
      </x:c>
      <x:c r="C110" s="39" t="str">
        <x:v>Dawn Capital</x:v>
      </x:c>
      <x:c r="D110" s="39" t="str">
        <x:v>Daniela Raffel Torrebiarte</x:v>
      </x:c>
      <x:c r="E110" s="39" t="str">
        <x:v>Investment Team</x:v>
      </x:c>
      <x:c r="F110" s="39" t="str">
        <x:v>Rever</x:v>
      </x:c>
      <x:c r="G110" s="39" t="str">
        <x:v>Equipa de investimento</x:v>
      </x:c>
      <x:c r="H110" s="39" t="str">
        <x:v>Londres</x:v>
      </x:c>
      <x:c r="I110" s="39" t="str">
        <x:v>B2B software</x:v>
      </x:c>
      <x:c r="J110" s="39" t="str">
        <x:v>Series A; Series B</x:v>
      </x:c>
      <x:c r="K110" s="39" t="str"/>
      <x:c r="L110" s="39" t="str"/>
      <x:c r="M110" s="39" t="str"/>
      <x:c r="N110" s="39" t="str"/>
      <x:c r="O110" s="39" t="str">
        <x:v>https://www.dawncapital.com/team</x:v>
      </x:c>
      <x:c r="P110" s="39" t="str">
        <x:v>Referir o problema estrutural do cliente e por que uma mudança tecnológica torna a solução inevitável agora.</x:v>
      </x:c>
      <x:c r="Q110" s="39" t="str">
        <x:v>Bios dos partners descrevem tese, decisões e investimentos.</x:v>
      </x:c>
      <x:c r="R110" s="39" t="str">
        <x:v>https://www.dawncapital.com/team</x:v>
      </x:c>
      <x:c r="S110" s="44" t="str">
        <x:v>2026-09-09</x:v>
      </x:c>
      <x:c r="T110" s="39" t="str">
        <x:v>Alta</x:v>
      </x:c>
      <x:c r="U110" s="39" t="str">
        <x:v>Base</x:v>
      </x:c>
      <x:c r="V110" s="39" t="str"/>
    </x:row>
    <x:row r="111" ht="40" customHeight="1">
      <x:c r="A111" s="39" t="str">
        <x:v>PER0110</x:v>
      </x:c>
      <x:c r="B111" s="39" t="str">
        <x:v>INV013</x:v>
      </x:c>
      <x:c r="C111" s="39" t="str">
        <x:v>Dawn Capital</x:v>
      </x:c>
      <x:c r="D111" s="39" t="str">
        <x:v>Zoe Qin</x:v>
      </x:c>
      <x:c r="E111" s="39" t="str">
        <x:v>Vice President</x:v>
      </x:c>
      <x:c r="F111" s="39" t="str">
        <x:v>Rever</x:v>
      </x:c>
      <x:c r="G111" s="39" t="str">
        <x:v>Equipa de investimento</x:v>
      </x:c>
      <x:c r="H111" s="39" t="str">
        <x:v>Londres</x:v>
      </x:c>
      <x:c r="I111" s="39" t="str">
        <x:v>Data; AI</x:v>
      </x:c>
      <x:c r="J111" s="39" t="str">
        <x:v>Series A; Series B</x:v>
      </x:c>
      <x:c r="K111" s="39" t="str"/>
      <x:c r="L111" s="39" t="str"/>
      <x:c r="M111" s="39" t="str"/>
      <x:c r="N111" s="39" t="str"/>
      <x:c r="O111" s="39" t="str">
        <x:v>https://www.dawncapital.com/team</x:v>
      </x:c>
      <x:c r="P111" s="39" t="str">
        <x:v>Referir o problema estrutural do cliente e por que uma mudança tecnológica torna a solução inevitável agora.</x:v>
      </x:c>
      <x:c r="Q111" s="39" t="str">
        <x:v>Bios dos partners descrevem tese, decisões e investimentos.</x:v>
      </x:c>
      <x:c r="R111" s="39" t="str">
        <x:v>https://www.dawncapital.com/team</x:v>
      </x:c>
      <x:c r="S111" s="44" t="str">
        <x:v>2026-09-09</x:v>
      </x:c>
      <x:c r="T111" s="39" t="str">
        <x:v>Alta</x:v>
      </x:c>
      <x:c r="U111" s="39" t="str">
        <x:v>Base</x:v>
      </x:c>
      <x:c r="V111" s="39" t="str"/>
    </x:row>
    <x:row r="112" ht="40" customHeight="1">
      <x:c r="A112" s="39" t="str">
        <x:v>PER0111</x:v>
      </x:c>
      <x:c r="B112" s="39" t="str">
        <x:v>INV013</x:v>
      </x:c>
      <x:c r="C112" s="39" t="str">
        <x:v>Dawn Capital</x:v>
      </x:c>
      <x:c r="D112" s="39" t="str">
        <x:v>Roméo Walter</x:v>
      </x:c>
      <x:c r="E112" s="39" t="str">
        <x:v>Investment Team</x:v>
      </x:c>
      <x:c r="F112" s="39" t="str">
        <x:v>Rever</x:v>
      </x:c>
      <x:c r="G112" s="39" t="str">
        <x:v>Equipa de investimento</x:v>
      </x:c>
      <x:c r="H112" s="39" t="str">
        <x:v>Londres</x:v>
      </x:c>
      <x:c r="I112" s="39" t="str">
        <x:v>B2B software</x:v>
      </x:c>
      <x:c r="J112" s="39" t="str">
        <x:v>Series A; Series B</x:v>
      </x:c>
      <x:c r="K112" s="39" t="str"/>
      <x:c r="L112" s="39" t="str"/>
      <x:c r="M112" s="39" t="str"/>
      <x:c r="N112" s="39" t="str"/>
      <x:c r="O112" s="39" t="str">
        <x:v>https://www.dawncapital.com/team</x:v>
      </x:c>
      <x:c r="P112" s="39" t="str">
        <x:v>Referir o problema estrutural do cliente e por que uma mudança tecnológica torna a solução inevitável agora.</x:v>
      </x:c>
      <x:c r="Q112" s="39" t="str">
        <x:v>Bios dos partners descrevem tese, decisões e investimentos.</x:v>
      </x:c>
      <x:c r="R112" s="39" t="str">
        <x:v>https://www.dawncapital.com/team</x:v>
      </x:c>
      <x:c r="S112" s="44" t="str">
        <x:v>2026-09-09</x:v>
      </x:c>
      <x:c r="T112" s="39" t="str">
        <x:v>Alta</x:v>
      </x:c>
      <x:c r="U112" s="39" t="str">
        <x:v>Base</x:v>
      </x:c>
      <x:c r="V112" s="39" t="str"/>
    </x:row>
    <x:row r="113" ht="40" customHeight="1">
      <x:c r="A113" s="39" t="str">
        <x:v>PER0112</x:v>
      </x:c>
      <x:c r="B113" s="39" t="str">
        <x:v>INV014</x:v>
      </x:c>
      <x:c r="C113" s="39" t="str">
        <x:v>Octopus Ventures</x:v>
      </x:c>
      <x:c r="D113" s="39" t="str">
        <x:v>Paul Davidson</x:v>
      </x:c>
      <x:c r="E113" s="39" t="str">
        <x:v>Partner</x:v>
      </x:c>
      <x:c r="F113" s="39" t="str">
        <x:v>Sim</x:v>
      </x:c>
      <x:c r="G113" s="39" t="str">
        <x:v>Decisor</x:v>
      </x:c>
      <x:c r="H113" s="39" t="str">
        <x:v>Londres</x:v>
      </x:c>
      <x:c r="I113" s="39" t="str">
        <x:v>B2B SaaS; cybersecurity; AI; data; infrastructure; MarTech</x:v>
      </x:c>
      <x:c r="J113" s="39" t="str">
        <x:v>Pre-seed to Growth</x:v>
      </x:c>
      <x:c r="K113" s="39" t="str"/>
      <x:c r="L113" s="39" t="str"/>
      <x:c r="M113" s="39" t="str"/>
      <x:c r="N113" s="39" t="str"/>
      <x:c r="O113" s="39" t="str">
        <x:v>https://octopusventures.com/</x:v>
      </x:c>
      <x:c r="P113" s="39" t="str">
        <x:v>Ligar o produto ao conhecimento setorial da equipa e aos marcos que a empresa precisa atingir no próximo ano.</x:v>
      </x:c>
      <x:c r="Q113" s="39" t="str">
        <x:v>Perfis da equipa e modelo de apoio especializado.</x:v>
      </x:c>
      <x:c r="R113" s="39" t="str">
        <x:v>https://octopusventures.com/</x:v>
      </x:c>
      <x:c r="S113" s="44" t="str">
        <x:v>2026-09-09</x:v>
      </x:c>
      <x:c r="T113" s="39" t="str">
        <x:v>Alta</x:v>
      </x:c>
      <x:c r="U113" s="39" t="str">
        <x:v>Enriquecido</x:v>
      </x:c>
      <x:c r="V113" s="39" t="str"/>
    </x:row>
    <x:row r="114" ht="40" customHeight="1">
      <x:c r="A114" s="39" t="str">
        <x:v>PER0113</x:v>
      </x:c>
      <x:c r="B114" s="39" t="str">
        <x:v>INV014</x:v>
      </x:c>
      <x:c r="C114" s="39" t="str">
        <x:v>Octopus Ventures</x:v>
      </x:c>
      <x:c r="D114" s="39" t="str">
        <x:v>Will Gibbs</x:v>
      </x:c>
      <x:c r="E114" s="39" t="str">
        <x:v>Partner</x:v>
      </x:c>
      <x:c r="F114" s="39" t="str">
        <x:v>Sim</x:v>
      </x:c>
      <x:c r="G114" s="39" t="str">
        <x:v>Decisor</x:v>
      </x:c>
      <x:c r="H114" s="39" t="str">
        <x:v>Londres</x:v>
      </x:c>
      <x:c r="I114" s="39" t="str">
        <x:v>Health; digital therapeutics; US expansion</x:v>
      </x:c>
      <x:c r="J114" s="39" t="str">
        <x:v>Pre-seed to Growth</x:v>
      </x:c>
      <x:c r="K114" s="39" t="str"/>
      <x:c r="L114" s="39" t="str"/>
      <x:c r="M114" s="39" t="str"/>
      <x:c r="N114" s="39" t="str"/>
      <x:c r="O114" s="39" t="str">
        <x:v>https://octopusventures.com/</x:v>
      </x:c>
      <x:c r="P114" s="39" t="str">
        <x:v>Ligar o produto ao conhecimento setorial da equipa e aos marcos que a empresa precisa atingir no próximo ano.</x:v>
      </x:c>
      <x:c r="Q114" s="39" t="str">
        <x:v>Perfis da equipa e modelo de apoio especializado.</x:v>
      </x:c>
      <x:c r="R114" s="39" t="str">
        <x:v>https://octopusventures.com/</x:v>
      </x:c>
      <x:c r="S114" s="44" t="str">
        <x:v>2026-09-09</x:v>
      </x:c>
      <x:c r="T114" s="39" t="str">
        <x:v>Alta</x:v>
      </x:c>
      <x:c r="U114" s="39" t="str">
        <x:v>Enriquecido</x:v>
      </x:c>
      <x:c r="V114" s="39" t="str"/>
    </x:row>
    <x:row r="115" ht="40" customHeight="1">
      <x:c r="A115" s="39" t="str">
        <x:v>PER0114</x:v>
      </x:c>
      <x:c r="B115" s="39" t="str">
        <x:v>INV014</x:v>
      </x:c>
      <x:c r="C115" s="39" t="str">
        <x:v>Octopus Ventures</x:v>
      </x:c>
      <x:c r="D115" s="39" t="str">
        <x:v>Tosin Agbabiaka</x:v>
      </x:c>
      <x:c r="E115" s="39" t="str">
        <x:v>Principal</x:v>
      </x:c>
      <x:c r="F115" s="39" t="str">
        <x:v>Rever</x:v>
      </x:c>
      <x:c r="G115" s="39" t="str">
        <x:v>Equipa de investimento</x:v>
      </x:c>
      <x:c r="H115" s="39" t="str">
        <x:v>Londres</x:v>
      </x:c>
      <x:c r="I115" s="39" t="str">
        <x:v>Fintech</x:v>
      </x:c>
      <x:c r="J115" s="39" t="str">
        <x:v>Pre-seed to Growth</x:v>
      </x:c>
      <x:c r="K115" s="39" t="str"/>
      <x:c r="L115" s="39" t="str"/>
      <x:c r="M115" s="39" t="str"/>
      <x:c r="N115" s="39" t="str"/>
      <x:c r="O115" s="39" t="str">
        <x:v>https://octopusventures.com/</x:v>
      </x:c>
      <x:c r="P115" s="39" t="str">
        <x:v>Ligar o produto ao conhecimento setorial da equipa e aos marcos que a empresa precisa atingir no próximo ano.</x:v>
      </x:c>
      <x:c r="Q115" s="39" t="str">
        <x:v>Perfis da equipa e modelo de apoio especializado.</x:v>
      </x:c>
      <x:c r="R115" s="39" t="str">
        <x:v>https://octopusventures.com/</x:v>
      </x:c>
      <x:c r="S115" s="44" t="str">
        <x:v>2026-09-09</x:v>
      </x:c>
      <x:c r="T115" s="39" t="str">
        <x:v>Alta</x:v>
      </x:c>
      <x:c r="U115" s="39" t="str">
        <x:v>Enriquecido</x:v>
      </x:c>
      <x:c r="V115" s="39" t="str"/>
    </x:row>
    <x:row r="116" ht="40" customHeight="1">
      <x:c r="A116" s="39" t="str">
        <x:v>PER0115</x:v>
      </x:c>
      <x:c r="B116" s="39" t="str">
        <x:v>INV014</x:v>
      </x:c>
      <x:c r="C116" s="39" t="str">
        <x:v>Octopus Ventures</x:v>
      </x:c>
      <x:c r="D116" s="39" t="str">
        <x:v>Santiago Fernandez</x:v>
      </x:c>
      <x:c r="E116" s="39" t="str">
        <x:v>Investment Manager</x:v>
      </x:c>
      <x:c r="F116" s="39" t="str">
        <x:v>Rever</x:v>
      </x:c>
      <x:c r="G116" s="39" t="str">
        <x:v>Equipa de investimento</x:v>
      </x:c>
      <x:c r="H116" s="39" t="str">
        <x:v>Londres</x:v>
      </x:c>
      <x:c r="I116" s="39" t="str">
        <x:v>Growth fintech; AI; SaaS</x:v>
      </x:c>
      <x:c r="J116" s="39" t="str">
        <x:v>Pre-seed to Growth</x:v>
      </x:c>
      <x:c r="K116" s="39" t="str"/>
      <x:c r="L116" s="39" t="str"/>
      <x:c r="M116" s="39" t="str"/>
      <x:c r="N116" s="39" t="str"/>
      <x:c r="O116" s="39" t="str">
        <x:v>https://octopusventures.com/</x:v>
      </x:c>
      <x:c r="P116" s="39" t="str">
        <x:v>Ligar o produto ao conhecimento setorial da equipa e aos marcos que a empresa precisa atingir no próximo ano.</x:v>
      </x:c>
      <x:c r="Q116" s="39" t="str">
        <x:v>Perfis da equipa e modelo de apoio especializado.</x:v>
      </x:c>
      <x:c r="R116" s="39" t="str">
        <x:v>https://octopusventures.com/</x:v>
      </x:c>
      <x:c r="S116" s="44" t="str">
        <x:v>2026-09-09</x:v>
      </x:c>
      <x:c r="T116" s="39" t="str">
        <x:v>Alta</x:v>
      </x:c>
      <x:c r="U116" s="39" t="str">
        <x:v>Enriquecido</x:v>
      </x:c>
      <x:c r="V116" s="39" t="str"/>
    </x:row>
    <x:row r="117" ht="40" customHeight="1">
      <x:c r="A117" s="39" t="str">
        <x:v>PER0116</x:v>
      </x:c>
      <x:c r="B117" s="39" t="str">
        <x:v>INV014</x:v>
      </x:c>
      <x:c r="C117" s="39" t="str">
        <x:v>Octopus Ventures</x:v>
      </x:c>
      <x:c r="D117" s="39" t="str">
        <x:v>Theo Xydas</x:v>
      </x:c>
      <x:c r="E117" s="39" t="str">
        <x:v>Principal</x:v>
      </x:c>
      <x:c r="F117" s="39" t="str">
        <x:v>Rever</x:v>
      </x:c>
      <x:c r="G117" s="39" t="str">
        <x:v>Equipa de investimento</x:v>
      </x:c>
      <x:c r="H117" s="39" t="str">
        <x:v>Londres</x:v>
      </x:c>
      <x:c r="I117" s="39" t="str">
        <x:v>Growth fintech; AI-enabled services</x:v>
      </x:c>
      <x:c r="J117" s="39" t="str">
        <x:v>Pre-seed to Growth</x:v>
      </x:c>
      <x:c r="K117" s="39" t="str"/>
      <x:c r="L117" s="39" t="str"/>
      <x:c r="M117" s="39" t="str"/>
      <x:c r="N117" s="39" t="str"/>
      <x:c r="O117" s="39" t="str">
        <x:v>https://octopusventures.com/</x:v>
      </x:c>
      <x:c r="P117" s="39" t="str">
        <x:v>Ligar o produto ao conhecimento setorial da equipa e aos marcos que a empresa precisa atingir no próximo ano.</x:v>
      </x:c>
      <x:c r="Q117" s="39" t="str">
        <x:v>Perfis da equipa e modelo de apoio especializado.</x:v>
      </x:c>
      <x:c r="R117" s="39" t="str">
        <x:v>https://octopusventures.com/</x:v>
      </x:c>
      <x:c r="S117" s="44" t="str">
        <x:v>2026-09-09</x:v>
      </x:c>
      <x:c r="T117" s="39" t="str">
        <x:v>Alta</x:v>
      </x:c>
      <x:c r="U117" s="39" t="str">
        <x:v>Enriquecido</x:v>
      </x:c>
      <x:c r="V117" s="39" t="str"/>
    </x:row>
    <x:row r="118" ht="40" customHeight="1">
      <x:c r="A118" s="39" t="str">
        <x:v>PER0117</x:v>
      </x:c>
      <x:c r="B118" s="39" t="str">
        <x:v>INV014</x:v>
      </x:c>
      <x:c r="C118" s="39" t="str">
        <x:v>Octopus Ventures</x:v>
      </x:c>
      <x:c r="D118" s="39" t="str">
        <x:v>Angel Issa</x:v>
      </x:c>
      <x:c r="E118" s="39" t="str">
        <x:v>Investor</x:v>
      </x:c>
      <x:c r="F118" s="39" t="str">
        <x:v>Rever</x:v>
      </x:c>
      <x:c r="G118" s="39" t="str">
        <x:v>Equipa de investimento</x:v>
      </x:c>
      <x:c r="H118" s="39" t="str">
        <x:v>Londres</x:v>
      </x:c>
      <x:c r="I118" s="39" t="str">
        <x:v>Fintech</x:v>
      </x:c>
      <x:c r="J118" s="39" t="str">
        <x:v>Pre-seed to Growth</x:v>
      </x:c>
      <x:c r="K118" s="39" t="str"/>
      <x:c r="L118" s="39" t="str"/>
      <x:c r="M118" s="39" t="str"/>
      <x:c r="N118" s="39" t="str"/>
      <x:c r="O118" s="39" t="str">
        <x:v>https://octopusventures.com/</x:v>
      </x:c>
      <x:c r="P118" s="39" t="str">
        <x:v>Ligar o produto ao conhecimento setorial da equipa e aos marcos que a empresa precisa atingir no próximo ano.</x:v>
      </x:c>
      <x:c r="Q118" s="39" t="str">
        <x:v>Perfis da equipa e modelo de apoio especializado.</x:v>
      </x:c>
      <x:c r="R118" s="39" t="str">
        <x:v>https://octopusventures.com/</x:v>
      </x:c>
      <x:c r="S118" s="44" t="str">
        <x:v>2026-09-09</x:v>
      </x:c>
      <x:c r="T118" s="39" t="str">
        <x:v>Alta</x:v>
      </x:c>
      <x:c r="U118" s="39" t="str">
        <x:v>Base</x:v>
      </x:c>
      <x:c r="V118" s="39" t="str"/>
    </x:row>
    <x:row r="119" ht="40" customHeight="1">
      <x:c r="A119" s="39" t="str">
        <x:v>PER0118</x:v>
      </x:c>
      <x:c r="B119" s="39" t="str">
        <x:v>INV014</x:v>
      </x:c>
      <x:c r="C119" s="39" t="str">
        <x:v>Octopus Ventures</x:v>
      </x:c>
      <x:c r="D119" s="39" t="str">
        <x:v>Zihao Xu</x:v>
      </x:c>
      <x:c r="E119" s="39" t="str">
        <x:v>Investor</x:v>
      </x:c>
      <x:c r="F119" s="39" t="str">
        <x:v>Rever</x:v>
      </x:c>
      <x:c r="G119" s="39" t="str">
        <x:v>Equipa de investimento</x:v>
      </x:c>
      <x:c r="H119" s="39" t="str">
        <x:v>Londres</x:v>
      </x:c>
      <x:c r="I119" s="39" t="str">
        <x:v>Fintech</x:v>
      </x:c>
      <x:c r="J119" s="39" t="str">
        <x:v>Pre-seed to Growth</x:v>
      </x:c>
      <x:c r="K119" s="39" t="str"/>
      <x:c r="L119" s="39" t="str"/>
      <x:c r="M119" s="39" t="str"/>
      <x:c r="N119" s="39" t="str"/>
      <x:c r="O119" s="39" t="str">
        <x:v>https://octopusventures.com/</x:v>
      </x:c>
      <x:c r="P119" s="39" t="str">
        <x:v>Ligar o produto ao conhecimento setorial da equipa e aos marcos que a empresa precisa atingir no próximo ano.</x:v>
      </x:c>
      <x:c r="Q119" s="39" t="str">
        <x:v>Perfis da equipa e modelo de apoio especializado.</x:v>
      </x:c>
      <x:c r="R119" s="39" t="str">
        <x:v>https://octopusventures.com/</x:v>
      </x:c>
      <x:c r="S119" s="44" t="str">
        <x:v>2026-09-09</x:v>
      </x:c>
      <x:c r="T119" s="39" t="str">
        <x:v>Alta</x:v>
      </x:c>
      <x:c r="U119" s="39" t="str">
        <x:v>Base</x:v>
      </x:c>
      <x:c r="V119" s="39" t="str"/>
    </x:row>
    <x:row r="120" ht="40" customHeight="1">
      <x:c r="A120" s="39" t="str">
        <x:v>PER0119</x:v>
      </x:c>
      <x:c r="B120" s="39" t="str">
        <x:v>INV014</x:v>
      </x:c>
      <x:c r="C120" s="39" t="str">
        <x:v>Octopus Ventures</x:v>
      </x:c>
      <x:c r="D120" s="39" t="str">
        <x:v>Constanza Diaz</x:v>
      </x:c>
      <x:c r="E120" s="39" t="str">
        <x:v>Investor</x:v>
      </x:c>
      <x:c r="F120" s="39" t="str">
        <x:v>Rever</x:v>
      </x:c>
      <x:c r="G120" s="39" t="str">
        <x:v>Equipa de investimento</x:v>
      </x:c>
      <x:c r="H120" s="39" t="str">
        <x:v>Londres</x:v>
      </x:c>
      <x:c r="I120" s="39" t="str">
        <x:v>B2B Software; cyber</x:v>
      </x:c>
      <x:c r="J120" s="39" t="str">
        <x:v>Pre-seed to Growth</x:v>
      </x:c>
      <x:c r="K120" s="39" t="str"/>
      <x:c r="L120" s="39" t="str"/>
      <x:c r="M120" s="39" t="str"/>
      <x:c r="N120" s="39" t="str"/>
      <x:c r="O120" s="39" t="str">
        <x:v>https://octopusventures.com/</x:v>
      </x:c>
      <x:c r="P120" s="39" t="str">
        <x:v>Ligar o produto ao conhecimento setorial da equipa e aos marcos que a empresa precisa atingir no próximo ano.</x:v>
      </x:c>
      <x:c r="Q120" s="39" t="str">
        <x:v>Perfis da equipa e modelo de apoio especializado.</x:v>
      </x:c>
      <x:c r="R120" s="39" t="str">
        <x:v>https://octopusventures.com/</x:v>
      </x:c>
      <x:c r="S120" s="44" t="str">
        <x:v>2026-09-09</x:v>
      </x:c>
      <x:c r="T120" s="39" t="str">
        <x:v>Alta</x:v>
      </x:c>
      <x:c r="U120" s="39" t="str">
        <x:v>Base</x:v>
      </x:c>
      <x:c r="V120" s="39" t="str"/>
    </x:row>
    <x:row r="121" ht="40" customHeight="1">
      <x:c r="A121" s="39" t="str">
        <x:v>PER0120</x:v>
      </x:c>
      <x:c r="B121" s="39" t="str">
        <x:v>INV015</x:v>
      </x:c>
      <x:c r="C121" s="39" t="str">
        <x:v>Notion Capital</x:v>
      </x:c>
      <x:c r="D121" s="39" t="str">
        <x:v>Jos White</x:v>
      </x:c>
      <x:c r="E121" s="39" t="str">
        <x:v>General Partner</x:v>
      </x:c>
      <x:c r="F121" s="39" t="str">
        <x:v>Sim</x:v>
      </x:c>
      <x:c r="G121" s="39" t="str">
        <x:v>Decisor</x:v>
      </x:c>
      <x:c r="H121" s="39" t="str">
        <x:v>Londres</x:v>
      </x:c>
      <x:c r="I121" s="39" t="str">
        <x:v>B2B SaaS; scaling; AI</x:v>
      </x:c>
      <x:c r="J121" s="39" t="str">
        <x:v>Series A; Growth</x:v>
      </x:c>
      <x:c r="K121" s="39" t="str"/>
      <x:c r="L121" s="39" t="str"/>
      <x:c r="M121" s="39" t="str"/>
      <x:c r="N121" s="39" t="str"/>
      <x:c r="O121" s="39" t="str">
        <x:v>https://www.notion.vc/our-team/</x:v>
      </x:c>
      <x:c r="P121" s="39" t="str">
        <x:v>Mostrar domínio das métricas SaaS e uma hipótese concreta de category design ou product-led growth.</x:v>
      </x:c>
      <x:c r="Q121" s="39" t="str">
        <x:v>Biblioteca pública da Notion contém conteúdo individual sobre estes temas.</x:v>
      </x:c>
      <x:c r="R121" s="39" t="str">
        <x:v>https://www.notion.vc/library</x:v>
      </x:c>
      <x:c r="S121" s="44" t="str">
        <x:v>2026-09-09</x:v>
      </x:c>
      <x:c r="T121" s="39" t="str">
        <x:v>Média</x:v>
      </x:c>
      <x:c r="U121" s="39" t="str">
        <x:v>Enriquecido</x:v>
      </x:c>
      <x:c r="V121" s="39" t="str"/>
    </x:row>
    <x:row r="122" ht="40" customHeight="1">
      <x:c r="A122" s="39" t="str">
        <x:v>PER0121</x:v>
      </x:c>
      <x:c r="B122" s="39" t="str">
        <x:v>INV015</x:v>
      </x:c>
      <x:c r="C122" s="39" t="str">
        <x:v>Notion Capital</x:v>
      </x:c>
      <x:c r="D122" s="39" t="str">
        <x:v>Stephen Chandler</x:v>
      </x:c>
      <x:c r="E122" s="39" t="str">
        <x:v>Managing Partner</x:v>
      </x:c>
      <x:c r="F122" s="39" t="str">
        <x:v>Sim</x:v>
      </x:c>
      <x:c r="G122" s="39" t="str">
        <x:v>Decisor</x:v>
      </x:c>
      <x:c r="H122" s="39" t="str">
        <x:v>Londres</x:v>
      </x:c>
      <x:c r="I122" s="39" t="str">
        <x:v>B2B SaaS; growth</x:v>
      </x:c>
      <x:c r="J122" s="39" t="str">
        <x:v>Series A; Growth</x:v>
      </x:c>
      <x:c r="K122" s="39" t="str"/>
      <x:c r="L122" s="39" t="str"/>
      <x:c r="M122" s="39" t="str"/>
      <x:c r="N122" s="39" t="str"/>
      <x:c r="O122" s="39" t="str">
        <x:v>https://www.notion.vc/our-team/</x:v>
      </x:c>
      <x:c r="P122" s="39" t="str">
        <x:v>Mostrar domínio das métricas SaaS e uma hipótese concreta de category design ou product-led growth.</x:v>
      </x:c>
      <x:c r="Q122" s="39" t="str">
        <x:v>Biblioteca pública da Notion contém conteúdo individual sobre estes temas.</x:v>
      </x:c>
      <x:c r="R122" s="39" t="str">
        <x:v>https://www.notion.vc/library</x:v>
      </x:c>
      <x:c r="S122" s="44" t="str">
        <x:v>2026-09-09</x:v>
      </x:c>
      <x:c r="T122" s="39" t="str">
        <x:v>Média</x:v>
      </x:c>
      <x:c r="U122" s="39" t="str">
        <x:v>Base</x:v>
      </x:c>
      <x:c r="V122" s="39" t="str"/>
    </x:row>
    <x:row r="123" ht="40" customHeight="1">
      <x:c r="A123" s="39" t="str">
        <x:v>PER0122</x:v>
      </x:c>
      <x:c r="B123" s="39" t="str">
        <x:v>INV015</x:v>
      </x:c>
      <x:c r="C123" s="39" t="str">
        <x:v>Notion Capital</x:v>
      </x:c>
      <x:c r="D123" s="39" t="str">
        <x:v>Itxaso del Palacio</x:v>
      </x:c>
      <x:c r="E123" s="39" t="str">
        <x:v>General Partner</x:v>
      </x:c>
      <x:c r="F123" s="39" t="str">
        <x:v>Sim</x:v>
      </x:c>
      <x:c r="G123" s="39" t="str">
        <x:v>Decisor</x:v>
      </x:c>
      <x:c r="H123" s="39" t="str">
        <x:v>Londres</x:v>
      </x:c>
      <x:c r="I123" s="39" t="str">
        <x:v>Product-led growth; software; AI</x:v>
      </x:c>
      <x:c r="J123" s="39" t="str">
        <x:v>Series A; Growth</x:v>
      </x:c>
      <x:c r="K123" s="39" t="str"/>
      <x:c r="L123" s="39" t="str"/>
      <x:c r="M123" s="39" t="str"/>
      <x:c r="N123" s="39" t="str"/>
      <x:c r="O123" s="39" t="str">
        <x:v>https://www.notion.vc/our-team/</x:v>
      </x:c>
      <x:c r="P123" s="39" t="str">
        <x:v>Mostrar domínio das métricas SaaS e uma hipótese concreta de category design ou product-led growth.</x:v>
      </x:c>
      <x:c r="Q123" s="39" t="str">
        <x:v>Biblioteca pública da Notion contém conteúdo individual sobre estes temas.</x:v>
      </x:c>
      <x:c r="R123" s="39" t="str">
        <x:v>https://www.notion.vc/library</x:v>
      </x:c>
      <x:c r="S123" s="44" t="str">
        <x:v>2026-09-09</x:v>
      </x:c>
      <x:c r="T123" s="39" t="str">
        <x:v>Média</x:v>
      </x:c>
      <x:c r="U123" s="39" t="str">
        <x:v>Enriquecido</x:v>
      </x:c>
      <x:c r="V123" s="39" t="str"/>
    </x:row>
    <x:row r="124" ht="40" customHeight="1">
      <x:c r="A124" s="39" t="str">
        <x:v>PER0123</x:v>
      </x:c>
      <x:c r="B124" s="39" t="str">
        <x:v>INV015</x:v>
      </x:c>
      <x:c r="C124" s="39" t="str">
        <x:v>Notion Capital</x:v>
      </x:c>
      <x:c r="D124" s="39" t="str">
        <x:v>Patrick Norris</x:v>
      </x:c>
      <x:c r="E124" s="39" t="str">
        <x:v>General Partner</x:v>
      </x:c>
      <x:c r="F124" s="39" t="str">
        <x:v>Sim</x:v>
      </x:c>
      <x:c r="G124" s="39" t="str">
        <x:v>Decisor</x:v>
      </x:c>
      <x:c r="H124" s="39" t="str">
        <x:v>Londres</x:v>
      </x:c>
      <x:c r="I124" s="39" t="str">
        <x:v>B2B SaaS; industrial; defence; fintech</x:v>
      </x:c>
      <x:c r="J124" s="39" t="str">
        <x:v>Series A; Growth</x:v>
      </x:c>
      <x:c r="K124" s="39" t="str"/>
      <x:c r="L124" s="39" t="str"/>
      <x:c r="M124" s="39" t="str"/>
      <x:c r="N124" s="39" t="str"/>
      <x:c r="O124" s="39" t="str">
        <x:v>https://www.notion.vc/our-team/</x:v>
      </x:c>
      <x:c r="P124" s="39" t="str">
        <x:v>Mostrar domínio das métricas SaaS e uma hipótese concreta de category design ou product-led growth.</x:v>
      </x:c>
      <x:c r="Q124" s="39" t="str">
        <x:v>Biblioteca pública da Notion contém conteúdo individual sobre estes temas.</x:v>
      </x:c>
      <x:c r="R124" s="39" t="str">
        <x:v>https://www.notion.vc/library</x:v>
      </x:c>
      <x:c r="S124" s="44" t="str">
        <x:v>2026-09-09</x:v>
      </x:c>
      <x:c r="T124" s="39" t="str">
        <x:v>Média</x:v>
      </x:c>
      <x:c r="U124" s="39" t="str">
        <x:v>Enriquecido</x:v>
      </x:c>
      <x:c r="V124" s="39" t="str"/>
    </x:row>
    <x:row r="125" ht="40" customHeight="1">
      <x:c r="A125" s="39" t="str">
        <x:v>PER0124</x:v>
      </x:c>
      <x:c r="B125" s="39" t="str">
        <x:v>INV015</x:v>
      </x:c>
      <x:c r="C125" s="39" t="str">
        <x:v>Notion Capital</x:v>
      </x:c>
      <x:c r="D125" s="39" t="str">
        <x:v>Kamil Mieczakowski</x:v>
      </x:c>
      <x:c r="E125" s="39" t="str">
        <x:v>Partner</x:v>
      </x:c>
      <x:c r="F125" s="39" t="str">
        <x:v>Sim</x:v>
      </x:c>
      <x:c r="G125" s="39" t="str">
        <x:v>Decisor</x:v>
      </x:c>
      <x:c r="H125" s="39" t="str">
        <x:v>Londres</x:v>
      </x:c>
      <x:c r="I125" s="39" t="str">
        <x:v>AI; B2B software; physical AI</x:v>
      </x:c>
      <x:c r="J125" s="39" t="str">
        <x:v>Series A; Growth</x:v>
      </x:c>
      <x:c r="K125" s="39" t="str"/>
      <x:c r="L125" s="39" t="str"/>
      <x:c r="M125" s="39" t="str"/>
      <x:c r="N125" s="39" t="str"/>
      <x:c r="O125" s="39" t="str">
        <x:v>https://www.notion.vc/our-team/</x:v>
      </x:c>
      <x:c r="P125" s="39" t="str">
        <x:v>Mostrar domínio das métricas SaaS e uma hipótese concreta de category design ou product-led growth.</x:v>
      </x:c>
      <x:c r="Q125" s="39" t="str">
        <x:v>Biblioteca pública da Notion contém conteúdo individual sobre estes temas.</x:v>
      </x:c>
      <x:c r="R125" s="39" t="str">
        <x:v>https://www.notion.vc/library</x:v>
      </x:c>
      <x:c r="S125" s="44" t="str">
        <x:v>2026-09-09</x:v>
      </x:c>
      <x:c r="T125" s="39" t="str">
        <x:v>Média</x:v>
      </x:c>
      <x:c r="U125" s="39" t="str">
        <x:v>Enriquecido</x:v>
      </x:c>
      <x:c r="V125" s="39" t="str"/>
    </x:row>
    <x:row r="126" ht="40" customHeight="1">
      <x:c r="A126" s="39" t="str">
        <x:v>PER0125</x:v>
      </x:c>
      <x:c r="B126" s="39" t="str">
        <x:v>INV015</x:v>
      </x:c>
      <x:c r="C126" s="39" t="str">
        <x:v>Notion Capital</x:v>
      </x:c>
      <x:c r="D126" s="39" t="str">
        <x:v>Stephen Millard</x:v>
      </x:c>
      <x:c r="E126" s="39" t="str">
        <x:v>Operating Partner &amp; Chief Platform Officer</x:v>
      </x:c>
      <x:c r="F126" s="39" t="str">
        <x:v>Rever</x:v>
      </x:c>
      <x:c r="G126" s="39" t="str">
        <x:v>Influenciador</x:v>
      </x:c>
      <x:c r="H126" s="39" t="str">
        <x:v>Londres</x:v>
      </x:c>
      <x:c r="I126" s="39" t="str">
        <x:v>Scaling; leadership; GTM</x:v>
      </x:c>
      <x:c r="J126" s="39" t="str">
        <x:v>Series A; Growth</x:v>
      </x:c>
      <x:c r="K126" s="39" t="str"/>
      <x:c r="L126" s="39" t="str"/>
      <x:c r="M126" s="39" t="str"/>
      <x:c r="N126" s="39" t="str"/>
      <x:c r="O126" s="39" t="str">
        <x:v>https://www.notion.vc/our-team/</x:v>
      </x:c>
      <x:c r="P126" s="39" t="str">
        <x:v>Mostrar domínio das métricas SaaS e uma hipótese concreta de category design ou product-led growth.</x:v>
      </x:c>
      <x:c r="Q126" s="39" t="str">
        <x:v>Biblioteca pública da Notion contém conteúdo individual sobre estes temas.</x:v>
      </x:c>
      <x:c r="R126" s="39" t="str">
        <x:v>https://www.notion.vc/library</x:v>
      </x:c>
      <x:c r="S126" s="44" t="str">
        <x:v>2026-09-09</x:v>
      </x:c>
      <x:c r="T126" s="39" t="str">
        <x:v>Média</x:v>
      </x:c>
      <x:c r="U126" s="39" t="str">
        <x:v>Base</x:v>
      </x:c>
      <x:c r="V126" s="39" t="str"/>
    </x:row>
    <x:row r="127" ht="40" customHeight="1">
      <x:c r="A127" s="39" t="str">
        <x:v>PER0126</x:v>
      </x:c>
      <x:c r="B127" s="39" t="str">
        <x:v>INV016</x:v>
      </x:c>
      <x:c r="C127" s="39" t="str">
        <x:v>Nauta Capital</x:v>
      </x:c>
      <x:c r="D127" s="39" t="str">
        <x:v>Carles Ferrer</x:v>
      </x:c>
      <x:c r="E127" s="39" t="str">
        <x:v>General Partner</x:v>
      </x:c>
      <x:c r="F127" s="39" t="str">
        <x:v>Sim</x:v>
      </x:c>
      <x:c r="G127" s="39" t="str">
        <x:v>Decisor</x:v>
      </x:c>
      <x:c r="H127" s="39" t="str">
        <x:v>Londres</x:v>
      </x:c>
      <x:c r="I127" s="39" t="str">
        <x:v>Security; SaaS; marketing analytics; data</x:v>
      </x:c>
      <x:c r="J127" s="39" t="str">
        <x:v>Seed+; Series A</x:v>
      </x:c>
      <x:c r="K127" s="39" t="str"/>
      <x:c r="L127" s="39" t="str"/>
      <x:c r="M127" s="39" t="str"/>
      <x:c r="N127" s="39" t="str"/>
      <x:c r="O127" s="39" t="str">
        <x:v>https://www.nautacapital.com/team</x:v>
      </x:c>
      <x:c r="P127" s="39" t="str">
        <x:v>Mostrar produto operacional, dor B2B clara e uma wedge plausível para expansão europeia.</x:v>
      </x:c>
      <x:c r="Q127" s="39" t="str">
        <x:v>Tese e bios públicas da Nauta.</x:v>
      </x:c>
      <x:c r="R127" s="39" t="str">
        <x:v>https://www.nautacapital.com/team</x:v>
      </x:c>
      <x:c r="S127" s="44" t="str">
        <x:v>2026-09-09</x:v>
      </x:c>
      <x:c r="T127" s="39" t="str">
        <x:v>Alta</x:v>
      </x:c>
      <x:c r="U127" s="39" t="str">
        <x:v>Enriquecido</x:v>
      </x:c>
      <x:c r="V127" s="39" t="str"/>
    </x:row>
    <x:row r="128" ht="40" customHeight="1">
      <x:c r="A128" s="39" t="str">
        <x:v>PER0127</x:v>
      </x:c>
      <x:c r="B128" s="39" t="str">
        <x:v>INV016</x:v>
      </x:c>
      <x:c r="C128" s="39" t="str">
        <x:v>Nauta Capital</x:v>
      </x:c>
      <x:c r="D128" s="39" t="str">
        <x:v>Jordi Viñas</x:v>
      </x:c>
      <x:c r="E128" s="39" t="str">
        <x:v>General Partner</x:v>
      </x:c>
      <x:c r="F128" s="39" t="str">
        <x:v>Sim</x:v>
      </x:c>
      <x:c r="G128" s="39" t="str">
        <x:v>Decisor</x:v>
      </x:c>
      <x:c r="H128" s="39" t="str">
        <x:v>Barcelona</x:v>
      </x:c>
      <x:c r="I128" s="39" t="str">
        <x:v>B2B software</x:v>
      </x:c>
      <x:c r="J128" s="39" t="str">
        <x:v>Seed+; Series A</x:v>
      </x:c>
      <x:c r="K128" s="39" t="str"/>
      <x:c r="L128" s="39" t="str"/>
      <x:c r="M128" s="39" t="str"/>
      <x:c r="N128" s="39" t="str"/>
      <x:c r="O128" s="39" t="str">
        <x:v>https://www.nautacapital.com/team</x:v>
      </x:c>
      <x:c r="P128" s="39" t="str">
        <x:v>Mostrar produto operacional, dor B2B clara e uma wedge plausível para expansão europeia.</x:v>
      </x:c>
      <x:c r="Q128" s="39" t="str">
        <x:v>Tese e bios públicas da Nauta.</x:v>
      </x:c>
      <x:c r="R128" s="39" t="str">
        <x:v>https://www.nautacapital.com/team</x:v>
      </x:c>
      <x:c r="S128" s="44" t="str">
        <x:v>2026-09-09</x:v>
      </x:c>
      <x:c r="T128" s="39" t="str">
        <x:v>Alta</x:v>
      </x:c>
      <x:c r="U128" s="39" t="str">
        <x:v>Base</x:v>
      </x:c>
      <x:c r="V128" s="39" t="str"/>
    </x:row>
    <x:row r="129" ht="40" customHeight="1">
      <x:c r="A129" s="39" t="str">
        <x:v>PER0128</x:v>
      </x:c>
      <x:c r="B129" s="39" t="str">
        <x:v>INV016</x:v>
      </x:c>
      <x:c r="C129" s="39" t="str">
        <x:v>Nauta Capital</x:v>
      </x:c>
      <x:c r="D129" s="39" t="str">
        <x:v>Borja Breña</x:v>
      </x:c>
      <x:c r="E129" s="39" t="str">
        <x:v>Partner</x:v>
      </x:c>
      <x:c r="F129" s="39" t="str">
        <x:v>Sim</x:v>
      </x:c>
      <x:c r="G129" s="39" t="str">
        <x:v>Decisor</x:v>
      </x:c>
      <x:c r="H129" s="39" t="str">
        <x:v>Barcelona / Madrid</x:v>
      </x:c>
      <x:c r="I129" s="39" t="str">
        <x:v>Spain &amp; Portugal; software</x:v>
      </x:c>
      <x:c r="J129" s="39" t="str">
        <x:v>Seed+; Series A</x:v>
      </x:c>
      <x:c r="K129" s="39" t="str"/>
      <x:c r="L129" s="39" t="str"/>
      <x:c r="M129" s="39" t="str"/>
      <x:c r="N129" s="39" t="str"/>
      <x:c r="O129" s="39" t="str">
        <x:v>https://www.nautacapital.com/team</x:v>
      </x:c>
      <x:c r="P129" s="39" t="str">
        <x:v>Mostrar produto operacional, dor B2B clara e uma wedge plausível para expansão europeia.</x:v>
      </x:c>
      <x:c r="Q129" s="39" t="str">
        <x:v>Tese e bios públicas da Nauta.</x:v>
      </x:c>
      <x:c r="R129" s="39" t="str">
        <x:v>https://www.nautacapital.com/team</x:v>
      </x:c>
      <x:c r="S129" s="44" t="str">
        <x:v>2026-09-09</x:v>
      </x:c>
      <x:c r="T129" s="39" t="str">
        <x:v>Alta</x:v>
      </x:c>
      <x:c r="U129" s="39" t="str">
        <x:v>Enriquecido</x:v>
      </x:c>
      <x:c r="V129" s="39" t="str"/>
    </x:row>
    <x:row r="130" ht="40" customHeight="1">
      <x:c r="A130" s="39" t="str">
        <x:v>PER0129</x:v>
      </x:c>
      <x:c r="B130" s="39" t="str">
        <x:v>INV016</x:v>
      </x:c>
      <x:c r="C130" s="39" t="str">
        <x:v>Nauta Capital</x:v>
      </x:c>
      <x:c r="D130" s="39" t="str">
        <x:v>Conor Scanlan</x:v>
      </x:c>
      <x:c r="E130" s="39" t="str">
        <x:v>Associate Partner</x:v>
      </x:c>
      <x:c r="F130" s="39" t="str">
        <x:v>Sim</x:v>
      </x:c>
      <x:c r="G130" s="39" t="str">
        <x:v>Decisor</x:v>
      </x:c>
      <x:c r="H130" s="39" t="str">
        <x:v>Londres</x:v>
      </x:c>
      <x:c r="I130" s="39" t="str">
        <x:v>Seed+; Series A B2B software</x:v>
      </x:c>
      <x:c r="J130" s="39" t="str">
        <x:v>Seed+; Series A</x:v>
      </x:c>
      <x:c r="K130" s="39" t="str"/>
      <x:c r="L130" s="39" t="str"/>
      <x:c r="M130" s="39" t="str"/>
      <x:c r="N130" s="39" t="str"/>
      <x:c r="O130" s="39" t="str">
        <x:v>https://www.nautacapital.com/team</x:v>
      </x:c>
      <x:c r="P130" s="39" t="str">
        <x:v>Mostrar produto operacional, dor B2B clara e uma wedge plausível para expansão europeia.</x:v>
      </x:c>
      <x:c r="Q130" s="39" t="str">
        <x:v>Tese e bios públicas da Nauta.</x:v>
      </x:c>
      <x:c r="R130" s="39" t="str">
        <x:v>https://www.nautacapital.com/team</x:v>
      </x:c>
      <x:c r="S130" s="44" t="str">
        <x:v>2026-09-09</x:v>
      </x:c>
      <x:c r="T130" s="39" t="str">
        <x:v>Alta</x:v>
      </x:c>
      <x:c r="U130" s="39" t="str">
        <x:v>Enriquecido</x:v>
      </x:c>
      <x:c r="V130" s="39" t="str"/>
    </x:row>
    <x:row r="131" ht="40" customHeight="1">
      <x:c r="A131" s="39" t="str">
        <x:v>PER0130</x:v>
      </x:c>
      <x:c r="B131" s="39" t="str">
        <x:v>INV016</x:v>
      </x:c>
      <x:c r="C131" s="39" t="str">
        <x:v>Nauta Capital</x:v>
      </x:c>
      <x:c r="D131" s="39" t="str">
        <x:v>Andrea Oliver</x:v>
      </x:c>
      <x:c r="E131" s="39" t="str">
        <x:v>Principal</x:v>
      </x:c>
      <x:c r="F131" s="39" t="str">
        <x:v>Rever</x:v>
      </x:c>
      <x:c r="G131" s="39" t="str">
        <x:v>Equipa de investimento</x:v>
      </x:c>
      <x:c r="H131" s="39" t="str">
        <x:v>Barcelona</x:v>
      </x:c>
      <x:c r="I131" s="39" t="str">
        <x:v>B2B software</x:v>
      </x:c>
      <x:c r="J131" s="39" t="str">
        <x:v>Seed+; Series A</x:v>
      </x:c>
      <x:c r="K131" s="39" t="str"/>
      <x:c r="L131" s="39" t="str"/>
      <x:c r="M131" s="39" t="str"/>
      <x:c r="N131" s="39" t="str"/>
      <x:c r="O131" s="39" t="str">
        <x:v>https://www.nautacapital.com/team</x:v>
      </x:c>
      <x:c r="P131" s="39" t="str">
        <x:v>Mostrar produto operacional, dor B2B clara e uma wedge plausível para expansão europeia.</x:v>
      </x:c>
      <x:c r="Q131" s="39" t="str">
        <x:v>Tese e bios públicas da Nauta.</x:v>
      </x:c>
      <x:c r="R131" s="39" t="str">
        <x:v>https://www.nautacapital.com/team</x:v>
      </x:c>
      <x:c r="S131" s="44" t="str">
        <x:v>2026-09-09</x:v>
      </x:c>
      <x:c r="T131" s="39" t="str">
        <x:v>Alta</x:v>
      </x:c>
      <x:c r="U131" s="39" t="str">
        <x:v>Base</x:v>
      </x:c>
      <x:c r="V131" s="39" t="str"/>
    </x:row>
    <x:row r="132" ht="40" customHeight="1">
      <x:c r="A132" s="39" t="str">
        <x:v>PER0131</x:v>
      </x:c>
      <x:c r="B132" s="39" t="str">
        <x:v>INV016</x:v>
      </x:c>
      <x:c r="C132" s="39" t="str">
        <x:v>Nauta Capital</x:v>
      </x:c>
      <x:c r="D132" s="39" t="str">
        <x:v>Theo Wethered</x:v>
      </x:c>
      <x:c r="E132" s="39" t="str">
        <x:v>Principal</x:v>
      </x:c>
      <x:c r="F132" s="39" t="str">
        <x:v>Rever</x:v>
      </x:c>
      <x:c r="G132" s="39" t="str">
        <x:v>Equipa de investimento</x:v>
      </x:c>
      <x:c r="H132" s="39" t="str">
        <x:v>Londres</x:v>
      </x:c>
      <x:c r="I132" s="39" t="str">
        <x:v>AI; data; fintech; supply chain; web3</x:v>
      </x:c>
      <x:c r="J132" s="39" t="str">
        <x:v>Seed+; Series A</x:v>
      </x:c>
      <x:c r="K132" s="39" t="str"/>
      <x:c r="L132" s="39" t="str"/>
      <x:c r="M132" s="39" t="str"/>
      <x:c r="N132" s="39" t="str"/>
      <x:c r="O132" s="39" t="str">
        <x:v>https://www.nautacapital.com/team</x:v>
      </x:c>
      <x:c r="P132" s="39" t="str">
        <x:v>Mostrar produto operacional, dor B2B clara e uma wedge plausível para expansão europeia.</x:v>
      </x:c>
      <x:c r="Q132" s="39" t="str">
        <x:v>Tese e bios públicas da Nauta.</x:v>
      </x:c>
      <x:c r="R132" s="39" t="str">
        <x:v>https://www.nautacapital.com/team</x:v>
      </x:c>
      <x:c r="S132" s="44" t="str">
        <x:v>2026-09-09</x:v>
      </x:c>
      <x:c r="T132" s="39" t="str">
        <x:v>Alta</x:v>
      </x:c>
      <x:c r="U132" s="39" t="str">
        <x:v>Enriquecido</x:v>
      </x:c>
      <x:c r="V132" s="39" t="str"/>
    </x:row>
    <x:row r="133" ht="40" customHeight="1">
      <x:c r="A133" s="39" t="str">
        <x:v>PER0132</x:v>
      </x:c>
      <x:c r="B133" s="39" t="str">
        <x:v>INV016</x:v>
      </x:c>
      <x:c r="C133" s="39" t="str">
        <x:v>Nauta Capital</x:v>
      </x:c>
      <x:c r="D133" s="39" t="str">
        <x:v>Ana Fernandez</x:v>
      </x:c>
      <x:c r="E133" s="39" t="str">
        <x:v>Investment Associate</x:v>
      </x:c>
      <x:c r="F133" s="39" t="str">
        <x:v>Rever</x:v>
      </x:c>
      <x:c r="G133" s="39" t="str">
        <x:v>Equipa de investimento</x:v>
      </x:c>
      <x:c r="H133" s="39" t="str">
        <x:v>Londres</x:v>
      </x:c>
      <x:c r="I133" s="39" t="str">
        <x:v>B2B software</x:v>
      </x:c>
      <x:c r="J133" s="39" t="str">
        <x:v>Seed+; Series A</x:v>
      </x:c>
      <x:c r="K133" s="39" t="str"/>
      <x:c r="L133" s="39" t="str"/>
      <x:c r="M133" s="39" t="str"/>
      <x:c r="N133" s="39" t="str"/>
      <x:c r="O133" s="39" t="str">
        <x:v>https://www.nautacapital.com/team</x:v>
      </x:c>
      <x:c r="P133" s="39" t="str">
        <x:v>Mostrar produto operacional, dor B2B clara e uma wedge plausível para expansão europeia.</x:v>
      </x:c>
      <x:c r="Q133" s="39" t="str">
        <x:v>Tese e bios públicas da Nauta.</x:v>
      </x:c>
      <x:c r="R133" s="39" t="str">
        <x:v>https://www.nautacapital.com/team</x:v>
      </x:c>
      <x:c r="S133" s="44" t="str">
        <x:v>2026-09-09</x:v>
      </x:c>
      <x:c r="T133" s="39" t="str">
        <x:v>Alta</x:v>
      </x:c>
      <x:c r="U133" s="39" t="str">
        <x:v>Base</x:v>
      </x:c>
      <x:c r="V133" s="39" t="str"/>
    </x:row>
    <x:row r="134" ht="40" customHeight="1">
      <x:c r="A134" s="39" t="str">
        <x:v>PER0133</x:v>
      </x:c>
      <x:c r="B134" s="39" t="str">
        <x:v>INV016</x:v>
      </x:c>
      <x:c r="C134" s="39" t="str">
        <x:v>Nauta Capital</x:v>
      </x:c>
      <x:c r="D134" s="39" t="str">
        <x:v>Stella Buhalis</x:v>
      </x:c>
      <x:c r="E134" s="39" t="str">
        <x:v>Investment Associate</x:v>
      </x:c>
      <x:c r="F134" s="39" t="str">
        <x:v>Rever</x:v>
      </x:c>
      <x:c r="G134" s="39" t="str">
        <x:v>Equipa de investimento</x:v>
      </x:c>
      <x:c r="H134" s="39" t="str">
        <x:v>Londres</x:v>
      </x:c>
      <x:c r="I134" s="39" t="str">
        <x:v>Fintech; future of work; healthcare; RevOps</x:v>
      </x:c>
      <x:c r="J134" s="39" t="str">
        <x:v>Seed+; Series A</x:v>
      </x:c>
      <x:c r="K134" s="39" t="str"/>
      <x:c r="L134" s="39" t="str"/>
      <x:c r="M134" s="39" t="str"/>
      <x:c r="N134" s="39" t="str"/>
      <x:c r="O134" s="39" t="str">
        <x:v>https://www.nautacapital.com/team</x:v>
      </x:c>
      <x:c r="P134" s="39" t="str">
        <x:v>Mostrar produto operacional, dor B2B clara e uma wedge plausível para expansão europeia.</x:v>
      </x:c>
      <x:c r="Q134" s="39" t="str">
        <x:v>Tese e bios públicas da Nauta.</x:v>
      </x:c>
      <x:c r="R134" s="39" t="str">
        <x:v>https://www.nautacapital.com/team</x:v>
      </x:c>
      <x:c r="S134" s="44" t="str">
        <x:v>2026-09-09</x:v>
      </x:c>
      <x:c r="T134" s="39" t="str">
        <x:v>Alta</x:v>
      </x:c>
      <x:c r="U134" s="39" t="str">
        <x:v>Enriquecido</x:v>
      </x:c>
      <x:c r="V134" s="39" t="str"/>
    </x:row>
    <x:row r="135" ht="40" customHeight="1">
      <x:c r="A135" s="39" t="str">
        <x:v>PER0134</x:v>
      </x:c>
      <x:c r="B135" s="39" t="str">
        <x:v>INV016</x:v>
      </x:c>
      <x:c r="C135" s="39" t="str">
        <x:v>Nauta Capital</x:v>
      </x:c>
      <x:c r="D135" s="39" t="str">
        <x:v>Arthur Sbert</x:v>
      </x:c>
      <x:c r="E135" s="39" t="str">
        <x:v>Investment Associate</x:v>
      </x:c>
      <x:c r="F135" s="39" t="str">
        <x:v>Rever</x:v>
      </x:c>
      <x:c r="G135" s="39" t="str">
        <x:v>Equipa de investimento</x:v>
      </x:c>
      <x:c r="H135" s="39" t="str">
        <x:v>Barcelona</x:v>
      </x:c>
      <x:c r="I135" s="39" t="str">
        <x:v>Fintech; SaaS</x:v>
      </x:c>
      <x:c r="J135" s="39" t="str">
        <x:v>Seed+; Series A</x:v>
      </x:c>
      <x:c r="K135" s="39" t="str"/>
      <x:c r="L135" s="39" t="str"/>
      <x:c r="M135" s="39" t="str"/>
      <x:c r="N135" s="39" t="str"/>
      <x:c r="O135" s="39" t="str">
        <x:v>https://www.nautacapital.com/team</x:v>
      </x:c>
      <x:c r="P135" s="39" t="str">
        <x:v>Mostrar produto operacional, dor B2B clara e uma wedge plausível para expansão europeia.</x:v>
      </x:c>
      <x:c r="Q135" s="39" t="str">
        <x:v>Tese e bios públicas da Nauta.</x:v>
      </x:c>
      <x:c r="R135" s="39" t="str">
        <x:v>https://www.nautacapital.com/team</x:v>
      </x:c>
      <x:c r="S135" s="44" t="str">
        <x:v>2026-09-09</x:v>
      </x:c>
      <x:c r="T135" s="39" t="str">
        <x:v>Alta</x:v>
      </x:c>
      <x:c r="U135" s="39" t="str">
        <x:v>Base</x:v>
      </x:c>
      <x:c r="V135" s="39" t="str"/>
    </x:row>
    <x:row r="136" ht="40" customHeight="1">
      <x:c r="A136" s="39" t="str">
        <x:v>PER0135</x:v>
      </x:c>
      <x:c r="B136" s="39" t="str">
        <x:v>INV017</x:v>
      </x:c>
      <x:c r="C136" s="39" t="str">
        <x:v>K Fund</x:v>
      </x:c>
      <x:c r="D136" s="39" t="str">
        <x:v>Iñaki Arrola</x:v>
      </x:c>
      <x:c r="E136" s="39" t="str">
        <x:v>General Partner</x:v>
      </x:c>
      <x:c r="F136" s="39" t="str">
        <x:v>Sim</x:v>
      </x:c>
      <x:c r="G136" s="39" t="str">
        <x:v>Decisor</x:v>
      </x:c>
      <x:c r="H136" s="39" t="str">
        <x:v>Madrid</x:v>
      </x:c>
      <x:c r="I136" s="39" t="str">
        <x:v>Marketplaces; founder-led companies</x:v>
      </x:c>
      <x:c r="J136" s="39" t="str">
        <x:v>Pre-seed to Series A+</x:v>
      </x:c>
      <x:c r="K136" s="39" t="str"/>
      <x:c r="L136" s="39" t="str"/>
      <x:c r="M136" s="39" t="str"/>
      <x:c r="N136" s="39" t="str"/>
      <x:c r="O136" s="39" t="str">
        <x:v>https://www.kfund.vc/team</x:v>
      </x:c>
      <x:c r="P136" s="39" t="str">
        <x:v>Ser contrarian com prova: explicar o insight não óbvio e como a equipa valida tecnologia e produto.</x:v>
      </x:c>
      <x:c r="Q136" s="39" t="str">
        <x:v>Posicionamento público e guia de due diligence técnica.</x:v>
      </x:c>
      <x:c r="R136" s="39" t="str">
        <x:v>https://www.kfund.vc/team</x:v>
      </x:c>
      <x:c r="S136" s="44" t="str">
        <x:v>2026-09-09</x:v>
      </x:c>
      <x:c r="T136" s="39" t="str">
        <x:v>Alta</x:v>
      </x:c>
      <x:c r="U136" s="39" t="str">
        <x:v>Enriquecido</x:v>
      </x:c>
      <x:c r="V136" s="39" t="str"/>
    </x:row>
    <x:row r="137" ht="40" customHeight="1">
      <x:c r="A137" s="39" t="str">
        <x:v>PER0136</x:v>
      </x:c>
      <x:c r="B137" s="39" t="str">
        <x:v>INV017</x:v>
      </x:c>
      <x:c r="C137" s="39" t="str">
        <x:v>K Fund</x:v>
      </x:c>
      <x:c r="D137" s="39" t="str">
        <x:v>Carina Szpilka</x:v>
      </x:c>
      <x:c r="E137" s="39" t="str">
        <x:v>General Partner</x:v>
      </x:c>
      <x:c r="F137" s="39" t="str">
        <x:v>Sim</x:v>
      </x:c>
      <x:c r="G137" s="39" t="str">
        <x:v>Decisor</x:v>
      </x:c>
      <x:c r="H137" s="39" t="str">
        <x:v>Madrid</x:v>
      </x:c>
      <x:c r="I137" s="39" t="str">
        <x:v>Fintech; customer-centric companies</x:v>
      </x:c>
      <x:c r="J137" s="39" t="str">
        <x:v>Pre-seed to Series A+</x:v>
      </x:c>
      <x:c r="K137" s="39" t="str"/>
      <x:c r="L137" s="39" t="str"/>
      <x:c r="M137" s="39" t="str"/>
      <x:c r="N137" s="39" t="str"/>
      <x:c r="O137" s="39" t="str">
        <x:v>https://www.kfund.vc/team</x:v>
      </x:c>
      <x:c r="P137" s="39" t="str">
        <x:v>Ser contrarian com prova: explicar o insight não óbvio e como a equipa valida tecnologia e produto.</x:v>
      </x:c>
      <x:c r="Q137" s="39" t="str">
        <x:v>Posicionamento público e guia de due diligence técnica.</x:v>
      </x:c>
      <x:c r="R137" s="39" t="str">
        <x:v>https://www.kfund.vc/team</x:v>
      </x:c>
      <x:c r="S137" s="44" t="str">
        <x:v>2026-09-09</x:v>
      </x:c>
      <x:c r="T137" s="39" t="str">
        <x:v>Alta</x:v>
      </x:c>
      <x:c r="U137" s="39" t="str">
        <x:v>Enriquecido</x:v>
      </x:c>
      <x:c r="V137" s="39" t="str"/>
    </x:row>
    <x:row r="138" ht="40" customHeight="1">
      <x:c r="A138" s="39" t="str">
        <x:v>PER0137</x:v>
      </x:c>
      <x:c r="B138" s="39" t="str">
        <x:v>INV017</x:v>
      </x:c>
      <x:c r="C138" s="39" t="str">
        <x:v>K Fund</x:v>
      </x:c>
      <x:c r="D138" s="39" t="str">
        <x:v>Pablo Ventura</x:v>
      </x:c>
      <x:c r="E138" s="39" t="str">
        <x:v>Partner</x:v>
      </x:c>
      <x:c r="F138" s="39" t="str">
        <x:v>Sim</x:v>
      </x:c>
      <x:c r="G138" s="39" t="str">
        <x:v>Decisor</x:v>
      </x:c>
      <x:c r="H138" s="39" t="str">
        <x:v>Madrid</x:v>
      </x:c>
      <x:c r="I138" s="39" t="str">
        <x:v>Dual-use; AI software for SMEs</x:v>
      </x:c>
      <x:c r="J138" s="39" t="str">
        <x:v>Pre-seed to Series A+</x:v>
      </x:c>
      <x:c r="K138" s="39" t="str"/>
      <x:c r="L138" s="39" t="str"/>
      <x:c r="M138" s="39" t="str"/>
      <x:c r="N138" s="39" t="str"/>
      <x:c r="O138" s="39" t="str">
        <x:v>https://www.kfund.vc/team</x:v>
      </x:c>
      <x:c r="P138" s="39" t="str">
        <x:v>Ser contrarian com prova: explicar o insight não óbvio e como a equipa valida tecnologia e produto.</x:v>
      </x:c>
      <x:c r="Q138" s="39" t="str">
        <x:v>Posicionamento público e guia de due diligence técnica.</x:v>
      </x:c>
      <x:c r="R138" s="39" t="str">
        <x:v>https://www.kfund.vc/team</x:v>
      </x:c>
      <x:c r="S138" s="44" t="str">
        <x:v>2026-09-09</x:v>
      </x:c>
      <x:c r="T138" s="39" t="str">
        <x:v>Alta</x:v>
      </x:c>
      <x:c r="U138" s="39" t="str">
        <x:v>Enriquecido</x:v>
      </x:c>
      <x:c r="V138" s="39" t="str"/>
    </x:row>
    <x:row r="139" ht="40" customHeight="1">
      <x:c r="A139" s="39" t="str">
        <x:v>PER0138</x:v>
      </x:c>
      <x:c r="B139" s="39" t="str">
        <x:v>INV017</x:v>
      </x:c>
      <x:c r="C139" s="39" t="str">
        <x:v>K Fund</x:v>
      </x:c>
      <x:c r="D139" s="39" t="str">
        <x:v>Marc Clemente</x:v>
      </x:c>
      <x:c r="E139" s="39" t="str">
        <x:v>Partner</x:v>
      </x:c>
      <x:c r="F139" s="39" t="str">
        <x:v>Sim</x:v>
      </x:c>
      <x:c r="G139" s="39" t="str">
        <x:v>Decisor</x:v>
      </x:c>
      <x:c r="H139" s="39" t="str">
        <x:v>Madrid</x:v>
      </x:c>
      <x:c r="I139" s="39" t="str">
        <x:v>Technology</x:v>
      </x:c>
      <x:c r="J139" s="39" t="str">
        <x:v>Pre-seed to Series A+</x:v>
      </x:c>
      <x:c r="K139" s="39" t="str"/>
      <x:c r="L139" s="39" t="str"/>
      <x:c r="M139" s="39" t="str"/>
      <x:c r="N139" s="39" t="str"/>
      <x:c r="O139" s="39" t="str">
        <x:v>https://www.kfund.vc/team</x:v>
      </x:c>
      <x:c r="P139" s="39" t="str">
        <x:v>Ser contrarian com prova: explicar o insight não óbvio e como a equipa valida tecnologia e produto.</x:v>
      </x:c>
      <x:c r="Q139" s="39" t="str">
        <x:v>Posicionamento público e guia de due diligence técnica.</x:v>
      </x:c>
      <x:c r="R139" s="39" t="str">
        <x:v>https://www.kfund.vc/team</x:v>
      </x:c>
      <x:c r="S139" s="44" t="str">
        <x:v>2026-09-09</x:v>
      </x:c>
      <x:c r="T139" s="39" t="str">
        <x:v>Alta</x:v>
      </x:c>
      <x:c r="U139" s="39" t="str">
        <x:v>Base</x:v>
      </x:c>
      <x:c r="V139" s="39" t="str"/>
    </x:row>
    <x:row r="140" ht="40" customHeight="1">
      <x:c r="A140" s="39" t="str">
        <x:v>PER0139</x:v>
      </x:c>
      <x:c r="B140" s="39" t="str">
        <x:v>INV017</x:v>
      </x:c>
      <x:c r="C140" s="39" t="str">
        <x:v>K Fund</x:v>
      </x:c>
      <x:c r="D140" s="39" t="str">
        <x:v>Jaime Novoa</x:v>
      </x:c>
      <x:c r="E140" s="39" t="str">
        <x:v>Partner</x:v>
      </x:c>
      <x:c r="F140" s="39" t="str">
        <x:v>Sim</x:v>
      </x:c>
      <x:c r="G140" s="39" t="str">
        <x:v>Decisor</x:v>
      </x:c>
      <x:c r="H140" s="39" t="str">
        <x:v>Madrid</x:v>
      </x:c>
      <x:c r="I140" s="39" t="str">
        <x:v>Spanish ecosystem; SaaS</x:v>
      </x:c>
      <x:c r="J140" s="39" t="str">
        <x:v>Pre-seed to Series A+</x:v>
      </x:c>
      <x:c r="K140" s="39" t="str"/>
      <x:c r="L140" s="39" t="str"/>
      <x:c r="M140" s="39" t="str"/>
      <x:c r="N140" s="39" t="str"/>
      <x:c r="O140" s="39" t="str">
        <x:v>https://www.kfund.vc/team</x:v>
      </x:c>
      <x:c r="P140" s="39" t="str">
        <x:v>Ser contrarian com prova: explicar o insight não óbvio e como a equipa valida tecnologia e produto.</x:v>
      </x:c>
      <x:c r="Q140" s="39" t="str">
        <x:v>Posicionamento público e guia de due diligence técnica.</x:v>
      </x:c>
      <x:c r="R140" s="39" t="str">
        <x:v>https://www.kfund.vc/team</x:v>
      </x:c>
      <x:c r="S140" s="44" t="str">
        <x:v>2026-09-09</x:v>
      </x:c>
      <x:c r="T140" s="39" t="str">
        <x:v>Alta</x:v>
      </x:c>
      <x:c r="U140" s="39" t="str">
        <x:v>Enriquecido</x:v>
      </x:c>
      <x:c r="V140" s="39" t="str"/>
    </x:row>
    <x:row r="141" ht="40" customHeight="1">
      <x:c r="A141" s="39" t="str">
        <x:v>PER0140</x:v>
      </x:c>
      <x:c r="B141" s="39" t="str">
        <x:v>INV017</x:v>
      </x:c>
      <x:c r="C141" s="39" t="str">
        <x:v>K Fund</x:v>
      </x:c>
      <x:c r="D141" s="39" t="str">
        <x:v>Gustavo Ribas</x:v>
      </x:c>
      <x:c r="E141" s="39" t="str">
        <x:v>Venture Partner</x:v>
      </x:c>
      <x:c r="F141" s="39" t="str">
        <x:v>Rever</x:v>
      </x:c>
      <x:c r="G141" s="39" t="str">
        <x:v>Influenciador</x:v>
      </x:c>
      <x:c r="H141" s="39" t="str">
        <x:v>São Paulo</x:v>
      </x:c>
      <x:c r="I141" s="39" t="str">
        <x:v>LatAm; fintech; deeptech</x:v>
      </x:c>
      <x:c r="J141" s="39" t="str">
        <x:v>Pre-seed to Series A+</x:v>
      </x:c>
      <x:c r="K141" s="39" t="str"/>
      <x:c r="L141" s="39" t="str"/>
      <x:c r="M141" s="39" t="str"/>
      <x:c r="N141" s="39" t="str"/>
      <x:c r="O141" s="39" t="str">
        <x:v>https://www.kfund.vc/team</x:v>
      </x:c>
      <x:c r="P141" s="39" t="str">
        <x:v>Ser contrarian com prova: explicar o insight não óbvio e como a equipa valida tecnologia e produto.</x:v>
      </x:c>
      <x:c r="Q141" s="39" t="str">
        <x:v>Posicionamento público e guia de due diligence técnica.</x:v>
      </x:c>
      <x:c r="R141" s="39" t="str">
        <x:v>https://www.kfund.vc/team</x:v>
      </x:c>
      <x:c r="S141" s="44" t="str">
        <x:v>2026-09-09</x:v>
      </x:c>
      <x:c r="T141" s="39" t="str">
        <x:v>Alta</x:v>
      </x:c>
      <x:c r="U141" s="39" t="str">
        <x:v>Base</x:v>
      </x:c>
      <x:c r="V141" s="39" t="str"/>
    </x:row>
    <x:row r="142" ht="40" customHeight="1">
      <x:c r="A142" s="39" t="str">
        <x:v>PER0141</x:v>
      </x:c>
      <x:c r="B142" s="39" t="str">
        <x:v>INV017</x:v>
      </x:c>
      <x:c r="C142" s="39" t="str">
        <x:v>K Fund</x:v>
      </x:c>
      <x:c r="D142" s="39" t="str">
        <x:v>Borja Santos</x:v>
      </x:c>
      <x:c r="E142" s="39" t="str">
        <x:v>Investment Team</x:v>
      </x:c>
      <x:c r="F142" s="39" t="str">
        <x:v>Rever</x:v>
      </x:c>
      <x:c r="G142" s="39" t="str">
        <x:v>Equipa de investimento</x:v>
      </x:c>
      <x:c r="H142" s="39" t="str">
        <x:v>Madrid</x:v>
      </x:c>
      <x:c r="I142" s="39" t="str">
        <x:v>Fintech; GTM; scaling</x:v>
      </x:c>
      <x:c r="J142" s="39" t="str">
        <x:v>Pre-seed to Series A+</x:v>
      </x:c>
      <x:c r="K142" s="39" t="str"/>
      <x:c r="L142" s="39" t="str"/>
      <x:c r="M142" s="39" t="str"/>
      <x:c r="N142" s="39" t="str"/>
      <x:c r="O142" s="39" t="str">
        <x:v>https://www.kfund.vc/team</x:v>
      </x:c>
      <x:c r="P142" s="39" t="str">
        <x:v>Ser contrarian com prova: explicar o insight não óbvio e como a equipa valida tecnologia e produto.</x:v>
      </x:c>
      <x:c r="Q142" s="39" t="str">
        <x:v>Posicionamento público e guia de due diligence técnica.</x:v>
      </x:c>
      <x:c r="R142" s="39" t="str">
        <x:v>https://www.kfund.vc/team</x:v>
      </x:c>
      <x:c r="S142" s="44" t="str">
        <x:v>2026-09-09</x:v>
      </x:c>
      <x:c r="T142" s="39" t="str">
        <x:v>Alta</x:v>
      </x:c>
      <x:c r="U142" s="39" t="str">
        <x:v>Base</x:v>
      </x:c>
      <x:c r="V142" s="39" t="str"/>
    </x:row>
    <x:row r="143" ht="40" customHeight="1">
      <x:c r="A143" s="39" t="str">
        <x:v>PER0142</x:v>
      </x:c>
      <x:c r="B143" s="39" t="str">
        <x:v>INV017</x:v>
      </x:c>
      <x:c r="C143" s="39" t="str">
        <x:v>K Fund</x:v>
      </x:c>
      <x:c r="D143" s="39" t="str">
        <x:v>Sergio Álvarez Leiva</x:v>
      </x:c>
      <x:c r="E143" s="39" t="str">
        <x:v>Partner</x:v>
      </x:c>
      <x:c r="F143" s="39" t="str">
        <x:v>Sim</x:v>
      </x:c>
      <x:c r="G143" s="39" t="str">
        <x:v>Decisor</x:v>
      </x:c>
      <x:c r="H143" s="39" t="str">
        <x:v>Madrid</x:v>
      </x:c>
      <x:c r="I143" s="39" t="str">
        <x:v>Data; people; product</x:v>
      </x:c>
      <x:c r="J143" s="39" t="str">
        <x:v>Pre-seed to Series A+</x:v>
      </x:c>
      <x:c r="K143" s="39" t="str"/>
      <x:c r="L143" s="39" t="str"/>
      <x:c r="M143" s="39" t="str"/>
      <x:c r="N143" s="39" t="str"/>
      <x:c r="O143" s="39" t="str">
        <x:v>https://www.kfund.vc/team</x:v>
      </x:c>
      <x:c r="P143" s="39" t="str">
        <x:v>Ser contrarian com prova: explicar o insight não óbvio e como a equipa valida tecnologia e produto.</x:v>
      </x:c>
      <x:c r="Q143" s="39" t="str">
        <x:v>Posicionamento público e guia de due diligence técnica.</x:v>
      </x:c>
      <x:c r="R143" s="39" t="str">
        <x:v>https://www.kfund.vc/team</x:v>
      </x:c>
      <x:c r="S143" s="44" t="str">
        <x:v>2026-09-09</x:v>
      </x:c>
      <x:c r="T143" s="39" t="str">
        <x:v>Alta</x:v>
      </x:c>
      <x:c r="U143" s="39" t="str">
        <x:v>Base</x:v>
      </x:c>
      <x:c r="V143" s="39" t="str"/>
    </x:row>
    <x:row r="144" ht="40" customHeight="1">
      <x:c r="A144" s="39" t="str">
        <x:v>PER0143</x:v>
      </x:c>
      <x:c r="B144" s="39" t="str">
        <x:v>INV018</x:v>
      </x:c>
      <x:c r="C144" s="39" t="str">
        <x:v>Samaipata</x:v>
      </x:c>
      <x:c r="D144" s="39" t="str">
        <x:v>José del Barrio</x:v>
      </x:c>
      <x:c r="E144" s="39" t="str">
        <x:v>Founding Partner</x:v>
      </x:c>
      <x:c r="F144" s="39" t="str">
        <x:v>Sim</x:v>
      </x:c>
      <x:c r="G144" s="39" t="str">
        <x:v>Decisor</x:v>
      </x:c>
      <x:c r="H144" s="39" t="str">
        <x:v>Madrid</x:v>
      </x:c>
      <x:c r="I144" s="39" t="str">
        <x:v>Marketplaces; network effects</x:v>
      </x:c>
      <x:c r="J144" s="39" t="str">
        <x:v>Pre-seed; Seed</x:v>
      </x:c>
      <x:c r="K144" s="39" t="str"/>
      <x:c r="L144" s="39" t="str"/>
      <x:c r="M144" s="39" t="str"/>
      <x:c r="N144" s="39" t="str"/>
      <x:c r="O144" s="39" t="str">
        <x:v>https://www.samaipata.vc/samaipata-team</x:v>
      </x:c>
      <x:c r="P144" s="39" t="str">
        <x:v>Quantificar o efeito de rede, a defensibilidade e o caminho para €100m+ de receita ou margem.</x:v>
      </x:c>
      <x:c r="Q144" s="39" t="str">
        <x:v>Founders Q&amp;A publica critérios explícitos.</x:v>
      </x:c>
      <x:c r="R144" s="39" t="str">
        <x:v>https://www.samaipata.vc/post/the-founders-q-a</x:v>
      </x:c>
      <x:c r="S144" s="44" t="str">
        <x:v>2026-09-09</x:v>
      </x:c>
      <x:c r="T144" s="39" t="str">
        <x:v>Alta</x:v>
      </x:c>
      <x:c r="U144" s="39" t="str">
        <x:v>Enriquecido</x:v>
      </x:c>
      <x:c r="V144" s="39" t="str"/>
    </x:row>
    <x:row r="145" ht="40" customHeight="1">
      <x:c r="A145" s="39" t="str">
        <x:v>PER0144</x:v>
      </x:c>
      <x:c r="B145" s="39" t="str">
        <x:v>INV018</x:v>
      </x:c>
      <x:c r="C145" s="39" t="str">
        <x:v>Samaipata</x:v>
      </x:c>
      <x:c r="D145" s="39" t="str">
        <x:v>Eduardo Diez-Hochleitner</x:v>
      </x:c>
      <x:c r="E145" s="39" t="str">
        <x:v>Founding Partner &amp; Chairman</x:v>
      </x:c>
      <x:c r="F145" s="39" t="str">
        <x:v>Sim</x:v>
      </x:c>
      <x:c r="G145" s="39" t="str">
        <x:v>Decisor</x:v>
      </x:c>
      <x:c r="H145" s="39" t="str">
        <x:v>Madrid</x:v>
      </x:c>
      <x:c r="I145" s="39" t="str">
        <x:v>Strategy; company building</x:v>
      </x:c>
      <x:c r="J145" s="39" t="str">
        <x:v>Pre-seed; Seed</x:v>
      </x:c>
      <x:c r="K145" s="39" t="str"/>
      <x:c r="L145" s="39" t="str"/>
      <x:c r="M145" s="39" t="str"/>
      <x:c r="N145" s="39" t="str"/>
      <x:c r="O145" s="39" t="str">
        <x:v>https://www.samaipata.vc/samaipata-team</x:v>
      </x:c>
      <x:c r="P145" s="39" t="str">
        <x:v>Quantificar o efeito de rede, a defensibilidade e o caminho para €100m+ de receita ou margem.</x:v>
      </x:c>
      <x:c r="Q145" s="39" t="str">
        <x:v>Founders Q&amp;A publica critérios explícitos.</x:v>
      </x:c>
      <x:c r="R145" s="39" t="str">
        <x:v>https://www.samaipata.vc/post/the-founders-q-a</x:v>
      </x:c>
      <x:c r="S145" s="44" t="str">
        <x:v>2026-09-09</x:v>
      </x:c>
      <x:c r="T145" s="39" t="str">
        <x:v>Alta</x:v>
      </x:c>
      <x:c r="U145" s="39" t="str">
        <x:v>Base</x:v>
      </x:c>
      <x:c r="V145" s="39" t="str"/>
    </x:row>
    <x:row r="146" ht="40" customHeight="1">
      <x:c r="A146" s="39" t="str">
        <x:v>PER0145</x:v>
      </x:c>
      <x:c r="B146" s="39" t="str">
        <x:v>INV018</x:v>
      </x:c>
      <x:c r="C146" s="39" t="str">
        <x:v>Samaipata</x:v>
      </x:c>
      <x:c r="D146" s="39" t="str">
        <x:v>Luis Garay</x:v>
      </x:c>
      <x:c r="E146" s="39" t="str">
        <x:v>Partner</x:v>
      </x:c>
      <x:c r="F146" s="39" t="str">
        <x:v>Sim</x:v>
      </x:c>
      <x:c r="G146" s="39" t="str">
        <x:v>Decisor</x:v>
      </x:c>
      <x:c r="H146" s="39" t="str">
        <x:v>Madrid</x:v>
      </x:c>
      <x:c r="I146" s="39" t="str">
        <x:v>AI; network effects; European tech</x:v>
      </x:c>
      <x:c r="J146" s="39" t="str">
        <x:v>Pre-seed; Seed</x:v>
      </x:c>
      <x:c r="K146" s="39" t="str"/>
      <x:c r="L146" s="39" t="str"/>
      <x:c r="M146" s="39" t="str"/>
      <x:c r="N146" s="39" t="str"/>
      <x:c r="O146" s="39" t="str">
        <x:v>https://www.samaipata.vc/samaipata-team</x:v>
      </x:c>
      <x:c r="P146" s="39" t="str">
        <x:v>Quantificar o efeito de rede, a defensibilidade e o caminho para €100m+ de receita ou margem.</x:v>
      </x:c>
      <x:c r="Q146" s="39" t="str">
        <x:v>Founders Q&amp;A publica critérios explícitos.</x:v>
      </x:c>
      <x:c r="R146" s="39" t="str">
        <x:v>https://www.samaipata.vc/post/the-founders-q-a</x:v>
      </x:c>
      <x:c r="S146" s="44" t="str">
        <x:v>2026-09-09</x:v>
      </x:c>
      <x:c r="T146" s="39" t="str">
        <x:v>Alta</x:v>
      </x:c>
      <x:c r="U146" s="39" t="str">
        <x:v>Enriquecido</x:v>
      </x:c>
      <x:c r="V146" s="39" t="str"/>
    </x:row>
    <x:row r="147" ht="40" customHeight="1">
      <x:c r="A147" s="39" t="str">
        <x:v>PER0146</x:v>
      </x:c>
      <x:c r="B147" s="39" t="str">
        <x:v>INV018</x:v>
      </x:c>
      <x:c r="C147" s="39" t="str">
        <x:v>Samaipata</x:v>
      </x:c>
      <x:c r="D147" s="39" t="str">
        <x:v>Alberto Cuevas</x:v>
      </x:c>
      <x:c r="E147" s="39" t="str">
        <x:v>Partner</x:v>
      </x:c>
      <x:c r="F147" s="39" t="str">
        <x:v>Sim</x:v>
      </x:c>
      <x:c r="G147" s="39" t="str">
        <x:v>Decisor</x:v>
      </x:c>
      <x:c r="H147" s="39" t="str">
        <x:v>Madrid</x:v>
      </x:c>
      <x:c r="I147" s="39" t="str">
        <x:v>Technology</x:v>
      </x:c>
      <x:c r="J147" s="39" t="str">
        <x:v>Pre-seed; Seed</x:v>
      </x:c>
      <x:c r="K147" s="39" t="str"/>
      <x:c r="L147" s="39" t="str"/>
      <x:c r="M147" s="39" t="str"/>
      <x:c r="N147" s="39" t="str"/>
      <x:c r="O147" s="39" t="str">
        <x:v>https://www.samaipata.vc/samaipata-team</x:v>
      </x:c>
      <x:c r="P147" s="39" t="str">
        <x:v>Quantificar o efeito de rede, a defensibilidade e o caminho para €100m+ de receita ou margem.</x:v>
      </x:c>
      <x:c r="Q147" s="39" t="str">
        <x:v>Founders Q&amp;A publica critérios explícitos.</x:v>
      </x:c>
      <x:c r="R147" s="39" t="str">
        <x:v>https://www.samaipata.vc/post/the-founders-q-a</x:v>
      </x:c>
      <x:c r="S147" s="44" t="str">
        <x:v>2026-09-09</x:v>
      </x:c>
      <x:c r="T147" s="39" t="str">
        <x:v>Alta</x:v>
      </x:c>
      <x:c r="U147" s="39" t="str">
        <x:v>Base</x:v>
      </x:c>
      <x:c r="V147" s="39" t="str"/>
    </x:row>
    <x:row r="148" ht="40" customHeight="1">
      <x:c r="A148" s="39" t="str">
        <x:v>PER0147</x:v>
      </x:c>
      <x:c r="B148" s="39" t="str">
        <x:v>INV018</x:v>
      </x:c>
      <x:c r="C148" s="39" t="str">
        <x:v>Samaipata</x:v>
      </x:c>
      <x:c r="D148" s="39" t="str">
        <x:v>Pablo Ferreras</x:v>
      </x:c>
      <x:c r="E148" s="39" t="str">
        <x:v>Partner - COO/CFO</x:v>
      </x:c>
      <x:c r="F148" s="39" t="str">
        <x:v>Sim</x:v>
      </x:c>
      <x:c r="G148" s="39" t="str">
        <x:v>Decisor</x:v>
      </x:c>
      <x:c r="H148" s="39" t="str">
        <x:v>Madrid</x:v>
      </x:c>
      <x:c r="I148" s="39" t="str">
        <x:v>Finance; operations</x:v>
      </x:c>
      <x:c r="J148" s="39" t="str">
        <x:v>Pre-seed; Seed</x:v>
      </x:c>
      <x:c r="K148" s="39" t="str"/>
      <x:c r="L148" s="39" t="str"/>
      <x:c r="M148" s="39" t="str"/>
      <x:c r="N148" s="39" t="str"/>
      <x:c r="O148" s="39" t="str">
        <x:v>https://www.samaipata.vc/samaipata-team</x:v>
      </x:c>
      <x:c r="P148" s="39" t="str">
        <x:v>Quantificar o efeito de rede, a defensibilidade e o caminho para €100m+ de receita ou margem.</x:v>
      </x:c>
      <x:c r="Q148" s="39" t="str">
        <x:v>Founders Q&amp;A publica critérios explícitos.</x:v>
      </x:c>
      <x:c r="R148" s="39" t="str">
        <x:v>https://www.samaipata.vc/post/the-founders-q-a</x:v>
      </x:c>
      <x:c r="S148" s="44" t="str">
        <x:v>2026-09-09</x:v>
      </x:c>
      <x:c r="T148" s="39" t="str">
        <x:v>Alta</x:v>
      </x:c>
      <x:c r="U148" s="39" t="str">
        <x:v>Base</x:v>
      </x:c>
      <x:c r="V148" s="39" t="str"/>
    </x:row>
    <x:row r="149" ht="40" customHeight="1">
      <x:c r="A149" s="39" t="str">
        <x:v>PER0148</x:v>
      </x:c>
      <x:c r="B149" s="39" t="str">
        <x:v>INV018</x:v>
      </x:c>
      <x:c r="C149" s="39" t="str">
        <x:v>Samaipata</x:v>
      </x:c>
      <x:c r="D149" s="39" t="str">
        <x:v>Íñigo Laucirica</x:v>
      </x:c>
      <x:c r="E149" s="39" t="str">
        <x:v>Principal</x:v>
      </x:c>
      <x:c r="F149" s="39" t="str">
        <x:v>Rever</x:v>
      </x:c>
      <x:c r="G149" s="39" t="str">
        <x:v>Equipa de investimento</x:v>
      </x:c>
      <x:c r="H149" s="39" t="str">
        <x:v>Madrid</x:v>
      </x:c>
      <x:c r="I149" s="39" t="str">
        <x:v>Technology</x:v>
      </x:c>
      <x:c r="J149" s="39" t="str">
        <x:v>Pre-seed; Seed</x:v>
      </x:c>
      <x:c r="K149" s="39" t="str"/>
      <x:c r="L149" s="39" t="str"/>
      <x:c r="M149" s="39" t="str"/>
      <x:c r="N149" s="39" t="str"/>
      <x:c r="O149" s="39" t="str">
        <x:v>https://www.samaipata.vc/samaipata-team</x:v>
      </x:c>
      <x:c r="P149" s="39" t="str">
        <x:v>Quantificar o efeito de rede, a defensibilidade e o caminho para €100m+ de receita ou margem.</x:v>
      </x:c>
      <x:c r="Q149" s="39" t="str">
        <x:v>Founders Q&amp;A publica critérios explícitos.</x:v>
      </x:c>
      <x:c r="R149" s="39" t="str">
        <x:v>https://www.samaipata.vc/post/the-founders-q-a</x:v>
      </x:c>
      <x:c r="S149" s="44" t="str">
        <x:v>2026-09-09</x:v>
      </x:c>
      <x:c r="T149" s="39" t="str">
        <x:v>Alta</x:v>
      </x:c>
      <x:c r="U149" s="39" t="str">
        <x:v>Base</x:v>
      </x:c>
      <x:c r="V149" s="39" t="str"/>
    </x:row>
    <x:row r="150" ht="40" customHeight="1">
      <x:c r="A150" s="39" t="str">
        <x:v>PER0149</x:v>
      </x:c>
      <x:c r="B150" s="39" t="str">
        <x:v>INV018</x:v>
      </x:c>
      <x:c r="C150" s="39" t="str">
        <x:v>Samaipata</x:v>
      </x:c>
      <x:c r="D150" s="39" t="str">
        <x:v>Irene Gentili</x:v>
      </x:c>
      <x:c r="E150" s="39" t="str">
        <x:v>Investment Manager</x:v>
      </x:c>
      <x:c r="F150" s="39" t="str">
        <x:v>Rever</x:v>
      </x:c>
      <x:c r="G150" s="39" t="str">
        <x:v>Equipa de investimento</x:v>
      </x:c>
      <x:c r="H150" s="39" t="str">
        <x:v>Paris</x:v>
      </x:c>
      <x:c r="I150" s="39" t="str">
        <x:v>Technology</x:v>
      </x:c>
      <x:c r="J150" s="39" t="str">
        <x:v>Pre-seed; Seed</x:v>
      </x:c>
      <x:c r="K150" s="39" t="str"/>
      <x:c r="L150" s="39" t="str"/>
      <x:c r="M150" s="39" t="str"/>
      <x:c r="N150" s="39" t="str"/>
      <x:c r="O150" s="39" t="str">
        <x:v>https://www.samaipata.vc/samaipata-team</x:v>
      </x:c>
      <x:c r="P150" s="39" t="str">
        <x:v>Quantificar o efeito de rede, a defensibilidade e o caminho para €100m+ de receita ou margem.</x:v>
      </x:c>
      <x:c r="Q150" s="39" t="str">
        <x:v>Founders Q&amp;A publica critérios explícitos.</x:v>
      </x:c>
      <x:c r="R150" s="39" t="str">
        <x:v>https://www.samaipata.vc/post/the-founders-q-a</x:v>
      </x:c>
      <x:c r="S150" s="44" t="str">
        <x:v>2026-09-09</x:v>
      </x:c>
      <x:c r="T150" s="39" t="str">
        <x:v>Alta</x:v>
      </x:c>
      <x:c r="U150" s="39" t="str">
        <x:v>Base</x:v>
      </x:c>
      <x:c r="V150" s="39" t="str"/>
    </x:row>
    <x:row r="151" ht="40" customHeight="1">
      <x:c r="A151" s="39" t="str">
        <x:v>PER0150</x:v>
      </x:c>
      <x:c r="B151" s="39" t="str">
        <x:v>INV018</x:v>
      </x:c>
      <x:c r="C151" s="39" t="str">
        <x:v>Samaipata</x:v>
      </x:c>
      <x:c r="D151" s="39" t="str">
        <x:v>Carmen Sánchez</x:v>
      </x:c>
      <x:c r="E151" s="39" t="str">
        <x:v>Investment Associate</x:v>
      </x:c>
      <x:c r="F151" s="39" t="str">
        <x:v>Rever</x:v>
      </x:c>
      <x:c r="G151" s="39" t="str">
        <x:v>Equipa de investimento</x:v>
      </x:c>
      <x:c r="H151" s="39" t="str">
        <x:v>Madrid</x:v>
      </x:c>
      <x:c r="I151" s="39" t="str">
        <x:v>Technology</x:v>
      </x:c>
      <x:c r="J151" s="39" t="str">
        <x:v>Pre-seed; Seed</x:v>
      </x:c>
      <x:c r="K151" s="39" t="str"/>
      <x:c r="L151" s="39" t="str"/>
      <x:c r="M151" s="39" t="str"/>
      <x:c r="N151" s="39" t="str"/>
      <x:c r="O151" s="39" t="str">
        <x:v>https://www.samaipata.vc/samaipata-team</x:v>
      </x:c>
      <x:c r="P151" s="39" t="str">
        <x:v>Quantificar o efeito de rede, a defensibilidade e o caminho para €100m+ de receita ou margem.</x:v>
      </x:c>
      <x:c r="Q151" s="39" t="str">
        <x:v>Founders Q&amp;A publica critérios explícitos.</x:v>
      </x:c>
      <x:c r="R151" s="39" t="str">
        <x:v>https://www.samaipata.vc/post/the-founders-q-a</x:v>
      </x:c>
      <x:c r="S151" s="44" t="str">
        <x:v>2026-09-09</x:v>
      </x:c>
      <x:c r="T151" s="39" t="str">
        <x:v>Alta</x:v>
      </x:c>
      <x:c r="U151" s="39" t="str">
        <x:v>Base</x:v>
      </x:c>
      <x:c r="V151" s="39" t="str"/>
    </x:row>
    <x:row r="152" ht="40" customHeight="1">
      <x:c r="A152" s="39" t="str">
        <x:v>PER0151</x:v>
      </x:c>
      <x:c r="B152" s="39" t="str">
        <x:v>INV019</x:v>
      </x:c>
      <x:c r="C152" s="39" t="str">
        <x:v>Portugal Ventures</x:v>
      </x:c>
      <x:c r="D152" s="39" t="str">
        <x:v>Marco Neves</x:v>
      </x:c>
      <x:c r="E152" s="39" t="str">
        <x:v>President / CEO</x:v>
      </x:c>
      <x:c r="F152" s="39" t="str">
        <x:v>Sim</x:v>
      </x:c>
      <x:c r="G152" s="39" t="str">
        <x:v>Decisor</x:v>
      </x:c>
      <x:c r="H152" s="39" t="str">
        <x:v>Portugal</x:v>
      </x:c>
      <x:c r="I152" s="39" t="str">
        <x:v>Estratégia institucional</x:v>
      </x:c>
      <x:c r="J152" s="39" t="str">
        <x:v>Pre-seed to Series A</x:v>
      </x:c>
      <x:c r="K152" s="39" t="str">
        <x:v>Banca; investimento; entidades públicas</x:v>
      </x:c>
      <x:c r="L152" s="39" t="str"/>
      <x:c r="M152" s="39" t="str"/>
      <x:c r="N152" s="39" t="str"/>
      <x:c r="O152" s="39" t="str">
        <x:v>https://www.portugalventures.pt/en/news/new-leadership-for-the-2025-2027-triennium/</x:v>
      </x:c>
      <x:c r="P152" s="39" t="str">
        <x:v>Enquadrar a empresa na missão de internacionalização e no instrumento/fundo certo.</x:v>
      </x:c>
      <x:c r="Q152" s="39" t="str">
        <x:v>Nova liderança 2025–2027 e missão institucional.</x:v>
      </x:c>
      <x:c r="R152" s="39" t="str">
        <x:v>https://www.portugalventures.pt/en/news/new-leadership-for-the-2025-2027-triennium/</x:v>
      </x:c>
      <x:c r="S152" s="44" t="str">
        <x:v>2026-09-09</x:v>
      </x:c>
      <x:c r="T152" s="39" t="str">
        <x:v>Alta</x:v>
      </x:c>
      <x:c r="U152" s="39" t="str">
        <x:v>Parcial</x:v>
      </x:c>
      <x:c r="V152" s="39" t="str"/>
    </x:row>
    <x:row r="153" ht="40" customHeight="1">
      <x:c r="A153" s="39" t="str">
        <x:v>PER0152</x:v>
      </x:c>
      <x:c r="B153" s="39" t="str">
        <x:v>INV019</x:v>
      </x:c>
      <x:c r="C153" s="39" t="str">
        <x:v>Portugal Ventures</x:v>
      </x:c>
      <x:c r="D153" s="39" t="str">
        <x:v>João Paulo Miranda</x:v>
      </x:c>
      <x:c r="E153" s="39" t="str">
        <x:v>Vice-President</x:v>
      </x:c>
      <x:c r="F153" s="39" t="str">
        <x:v>Sim</x:v>
      </x:c>
      <x:c r="G153" s="39" t="str">
        <x:v>Decisor</x:v>
      </x:c>
      <x:c r="H153" s="39" t="str">
        <x:v>Portugal</x:v>
      </x:c>
      <x:c r="I153" s="39" t="str">
        <x:v>Estratégia institucional</x:v>
      </x:c>
      <x:c r="J153" s="39" t="str">
        <x:v>Pre-seed to Series A</x:v>
      </x:c>
      <x:c r="K153" s="39" t="str">
        <x:v>Gestão e finanças</x:v>
      </x:c>
      <x:c r="L153" s="39" t="str"/>
      <x:c r="M153" s="39" t="str"/>
      <x:c r="N153" s="39" t="str"/>
      <x:c r="O153" s="39" t="str">
        <x:v>https://www.portugalventures.pt/en/news/new-leadership-for-the-2025-2027-triennium/</x:v>
      </x:c>
      <x:c r="P153" s="39" t="str">
        <x:v>Identificar primeiro a call e mostrar elegibilidade objetiva.</x:v>
      </x:c>
      <x:c r="Q153" s="39" t="str">
        <x:v>Membro do conselho executivo.</x:v>
      </x:c>
      <x:c r="R153" s="39" t="str">
        <x:v>https://www.portugalventures.pt/en/news/new-leadership-for-the-2025-2027-triennium/</x:v>
      </x:c>
      <x:c r="S153" s="44" t="str">
        <x:v>2026-09-09</x:v>
      </x:c>
      <x:c r="T153" s="39" t="str">
        <x:v>Alta</x:v>
      </x:c>
      <x:c r="U153" s="39" t="str">
        <x:v>Base</x:v>
      </x:c>
      <x:c r="V153" s="39" t="str"/>
    </x:row>
    <x:row r="154" ht="40" customHeight="1">
      <x:c r="A154" s="39" t="str">
        <x:v>PER0153</x:v>
      </x:c>
      <x:c r="B154" s="39" t="str">
        <x:v>INV019</x:v>
      </x:c>
      <x:c r="C154" s="39" t="str">
        <x:v>Portugal Ventures</x:v>
      </x:c>
      <x:c r="D154" s="39" t="str">
        <x:v>Carla Areias</x:v>
      </x:c>
      <x:c r="E154" s="39" t="str">
        <x:v>Executive Board Member</x:v>
      </x:c>
      <x:c r="F154" s="39" t="str">
        <x:v>Sim</x:v>
      </x:c>
      <x:c r="G154" s="39" t="str">
        <x:v>Decisor</x:v>
      </x:c>
      <x:c r="H154" s="39" t="str">
        <x:v>Portugal</x:v>
      </x:c>
      <x:c r="I154" s="39" t="str">
        <x:v>Estratégia institucional</x:v>
      </x:c>
      <x:c r="J154" s="39" t="str">
        <x:v>Pre-seed to Series A</x:v>
      </x:c>
      <x:c r="K154" s="39" t="str">
        <x:v>Gestão e investimento</x:v>
      </x:c>
      <x:c r="L154" s="39" t="str"/>
      <x:c r="M154" s="39" t="str"/>
      <x:c r="N154" s="39" t="str"/>
      <x:c r="O154" s="39" t="str">
        <x:v>https://www.portugalventures.pt/en/news/new-leadership-for-the-2025-2027-triennium/</x:v>
      </x:c>
      <x:c r="P154" s="39" t="str">
        <x:v>Associar o caso à estratégia e às métricas exigidas pelas calls.</x:v>
      </x:c>
      <x:c r="Q154" s="39" t="str">
        <x:v>Membro executivo do conselho.</x:v>
      </x:c>
      <x:c r="R154" s="39" t="str">
        <x:v>https://www.portugalventures.pt/en/news/new-leadership-for-the-2025-2027-triennium/</x:v>
      </x:c>
      <x:c r="S154" s="44" t="str">
        <x:v>2026-09-09</x:v>
      </x:c>
      <x:c r="T154" s="39" t="str">
        <x:v>Alta</x:v>
      </x:c>
      <x:c r="U154" s="39" t="str">
        <x:v>Base</x:v>
      </x:c>
      <x:c r="V154" s="39" t="str"/>
    </x:row>
    <x:row r="155" ht="40" customHeight="1">
      <x:c r="A155" s="39" t="str">
        <x:v>PER0154</x:v>
      </x:c>
      <x:c r="B155" s="39" t="str">
        <x:v>INV019</x:v>
      </x:c>
      <x:c r="C155" s="39" t="str">
        <x:v>Portugal Ventures</x:v>
      </x:c>
      <x:c r="D155" s="39" t="str">
        <x:v>Miguel Barbosa</x:v>
      </x:c>
      <x:c r="E155" s="39" t="str">
        <x:v>Investment Director</x:v>
      </x:c>
      <x:c r="F155" s="39" t="str">
        <x:v>Sim</x:v>
      </x:c>
      <x:c r="G155" s="39" t="str">
        <x:v>Decisor</x:v>
      </x:c>
      <x:c r="H155" s="39" t="str">
        <x:v>Portugal</x:v>
      </x:c>
      <x:c r="I155" s="39" t="str">
        <x:v>Tourism; hardware; IoT; agri-food; industrial; telecom</x:v>
      </x:c>
      <x:c r="J155" s="39" t="str">
        <x:v>Pre-seed to Series A</x:v>
      </x:c>
      <x:c r="K155" s="39" t="str">
        <x:v>Consultoria; telecom; Nutrinveste; 20+ anos VC</x:v>
      </x:c>
      <x:c r="L155" s="39" t="str">
        <x:v>Indie Campers</x:v>
      </x:c>
      <x:c r="M155" s="39" t="str"/>
      <x:c r="N155" s="39" t="str"/>
      <x:c r="O155" s="39" t="str">
        <x:v>https://www.portugalventures.pt/en/member/miguel-barbosa/</x:v>
      </x:c>
      <x:c r="P155" s="39" t="str">
        <x:v>Se aplicável, ligar hardware/IoT ou turismo à experiência setorial e à internacionalização.</x:v>
      </x:c>
      <x:c r="Q155" s="39" t="str">
        <x:v>Perfil oficial detalha setores, carreira e investimentos.</x:v>
      </x:c>
      <x:c r="R155" s="39" t="str">
        <x:v>https://www.portugalventures.pt/en/member/miguel-barbosa/</x:v>
      </x:c>
      <x:c r="S155" s="44" t="str">
        <x:v>2026-09-09</x:v>
      </x:c>
      <x:c r="T155" s="39" t="str">
        <x:v>Alta</x:v>
      </x:c>
      <x:c r="U155" s="39" t="str">
        <x:v>Enriquecido</x:v>
      </x:c>
      <x:c r="V155" s="39" t="str"/>
    </x:row>
    <x:row r="156" ht="40" customHeight="1">
      <x:c r="A156" s="39" t="str">
        <x:v>PER0155</x:v>
      </x:c>
      <x:c r="B156" s="39" t="str">
        <x:v>INV019</x:v>
      </x:c>
      <x:c r="C156" s="39" t="str">
        <x:v>Portugal Ventures</x:v>
      </x:c>
      <x:c r="D156" s="39" t="str">
        <x:v>Nuno Oliveira</x:v>
      </x:c>
      <x:c r="E156" s="39" t="str">
        <x:v>Investment Manager</x:v>
      </x:c>
      <x:c r="F156" s="39" t="str">
        <x:v>Rever</x:v>
      </x:c>
      <x:c r="G156" s="39" t="str">
        <x:v>Equipa de investimento</x:v>
      </x:c>
      <x:c r="H156" s="39" t="str">
        <x:v>Portugal</x:v>
      </x:c>
      <x:c r="I156" s="39" t="str">
        <x:v>Digital; software</x:v>
      </x:c>
      <x:c r="J156" s="39" t="str">
        <x:v>Pre-seed to Series A</x:v>
      </x:c>
      <x:c r="K156" s="39" t="str">
        <x:v>Investment management</x:v>
      </x:c>
      <x:c r="L156" s="39" t="str">
        <x:v>Outgoing</x:v>
      </x:c>
      <x:c r="M156" s="39" t="str"/>
      <x:c r="N156" s="39" t="str"/>
      <x:c r="O156" s="39" t="str">
        <x:v>https://www.portugalventures.pt/en/portfolio/outgoing/</x:v>
      </x:c>
      <x:c r="P156" s="39" t="str">
        <x:v>Referir a ligação direta a software conversacional/AI e ao caso Outgoing, se relevante.</x:v>
      </x:c>
      <x:c r="Q156" s="39" t="str">
        <x:v>Página de portfólio identifica o investment manager.</x:v>
      </x:c>
      <x:c r="R156" s="39" t="str">
        <x:v>https://www.portugalventures.pt/en/portfolio/outgoing/</x:v>
      </x:c>
      <x:c r="S156" s="44" t="str">
        <x:v>2026-09-09</x:v>
      </x:c>
      <x:c r="T156" s="39" t="str">
        <x:v>Média</x:v>
      </x:c>
      <x:c r="U156" s="39" t="str">
        <x:v>Parcial</x:v>
      </x:c>
      <x:c r="V156" s="39" t="str"/>
    </x:row>
    <x:row r="157" ht="40" customHeight="1">
      <x:c r="A157" s="39" t="str">
        <x:v>PER0156</x:v>
      </x:c>
      <x:c r="B157" s="39" t="str">
        <x:v>INV020</x:v>
      </x:c>
      <x:c r="C157" s="39" t="str">
        <x:v>Indico Capital Partners</x:v>
      </x:c>
      <x:c r="D157" s="39" t="str">
        <x:v>Stephan de Moraes</x:v>
      </x:c>
      <x:c r="E157" s="39" t="str">
        <x:v>Managing General Partner</x:v>
      </x:c>
      <x:c r="F157" s="39" t="str">
        <x:v>Sim</x:v>
      </x:c>
      <x:c r="G157" s="39" t="str">
        <x:v>Decisor</x:v>
      </x:c>
      <x:c r="H157" s="39" t="str">
        <x:v>Lisboa</x:v>
      </x:c>
      <x:c r="I157" s="39" t="str">
        <x:v>Tech; global expansion</x:v>
      </x:c>
      <x:c r="J157" s="39" t="str">
        <x:v>Pre-seed to Growth</x:v>
      </x:c>
      <x:c r="K157" s="39" t="str"/>
      <x:c r="L157" s="39" t="str"/>
      <x:c r="M157" s="39" t="str"/>
      <x:c r="N157" s="39" t="str"/>
      <x:c r="O157" s="39" t="str">
        <x:v>https://www.indicocapital.com/about-us</x:v>
      </x:c>
      <x:c r="P157" s="39" t="str">
        <x:v>Mostrar como talento do sul da Europa cria uma categoria global e qual vantagem técnica sustenta a escala.</x:v>
      </x:c>
      <x:c r="Q157" s="39" t="str">
        <x:v>Tese e equipa publicadas na página About Us.</x:v>
      </x:c>
      <x:c r="R157" s="39" t="str">
        <x:v>https://www.indicocapital.com/about-us</x:v>
      </x:c>
      <x:c r="S157" s="44" t="str">
        <x:v>2026-09-09</x:v>
      </x:c>
      <x:c r="T157" s="39" t="str">
        <x:v>Alta</x:v>
      </x:c>
      <x:c r="U157" s="39" t="str">
        <x:v>Enriquecido</x:v>
      </x:c>
      <x:c r="V157" s="39" t="str"/>
    </x:row>
    <x:row r="158" ht="40" customHeight="1">
      <x:c r="A158" s="39" t="str">
        <x:v>PER0157</x:v>
      </x:c>
      <x:c r="B158" s="39" t="str">
        <x:v>INV020</x:v>
      </x:c>
      <x:c r="C158" s="39" t="str">
        <x:v>Indico Capital Partners</x:v>
      </x:c>
      <x:c r="D158" s="39" t="str">
        <x:v>Ricardo Torgal</x:v>
      </x:c>
      <x:c r="E158" s="39" t="str">
        <x:v>General Partner &amp; CFO</x:v>
      </x:c>
      <x:c r="F158" s="39" t="str">
        <x:v>Sim</x:v>
      </x:c>
      <x:c r="G158" s="39" t="str">
        <x:v>Decisor</x:v>
      </x:c>
      <x:c r="H158" s="39" t="str">
        <x:v>Lisboa</x:v>
      </x:c>
      <x:c r="I158" s="39" t="str">
        <x:v>Tech; finance</x:v>
      </x:c>
      <x:c r="J158" s="39" t="str">
        <x:v>Pre-seed to Growth</x:v>
      </x:c>
      <x:c r="K158" s="39" t="str"/>
      <x:c r="L158" s="39" t="str"/>
      <x:c r="M158" s="39" t="str"/>
      <x:c r="N158" s="39" t="str"/>
      <x:c r="O158" s="39" t="str">
        <x:v>https://www.indicocapital.com/about-us</x:v>
      </x:c>
      <x:c r="P158" s="39" t="str">
        <x:v>Mostrar como talento do sul da Europa cria uma categoria global e qual vantagem técnica sustenta a escala.</x:v>
      </x:c>
      <x:c r="Q158" s="39" t="str">
        <x:v>Tese e equipa publicadas na página About Us.</x:v>
      </x:c>
      <x:c r="R158" s="39" t="str">
        <x:v>https://www.indicocapital.com/about-us</x:v>
      </x:c>
      <x:c r="S158" s="44" t="str">
        <x:v>2026-09-09</x:v>
      </x:c>
      <x:c r="T158" s="39" t="str">
        <x:v>Alta</x:v>
      </x:c>
      <x:c r="U158" s="39" t="str">
        <x:v>Base</x:v>
      </x:c>
      <x:c r="V158" s="39" t="str"/>
    </x:row>
    <x:row r="159" ht="40" customHeight="1">
      <x:c r="A159" s="39" t="str">
        <x:v>PER0158</x:v>
      </x:c>
      <x:c r="B159" s="39" t="str">
        <x:v>INV020</x:v>
      </x:c>
      <x:c r="C159" s="39" t="str">
        <x:v>Indico Capital Partners</x:v>
      </x:c>
      <x:c r="D159" s="39" t="str">
        <x:v>Cristina Fonseca</x:v>
      </x:c>
      <x:c r="E159" s="39" t="str">
        <x:v>General Partner</x:v>
      </x:c>
      <x:c r="F159" s="39" t="str">
        <x:v>Sim</x:v>
      </x:c>
      <x:c r="G159" s="39" t="str">
        <x:v>Decisor</x:v>
      </x:c>
      <x:c r="H159" s="39" t="str">
        <x:v>Lisboa</x:v>
      </x:c>
      <x:c r="I159" s="39" t="str">
        <x:v>Enterprise SaaS; AI; founder experience</x:v>
      </x:c>
      <x:c r="J159" s="39" t="str">
        <x:v>Pre-seed to Growth</x:v>
      </x:c>
      <x:c r="K159" s="39" t="str"/>
      <x:c r="L159" s="39" t="str"/>
      <x:c r="M159" s="39" t="str"/>
      <x:c r="N159" s="39" t="str"/>
      <x:c r="O159" s="39" t="str">
        <x:v>https://www.indicocapital.com/about-us</x:v>
      </x:c>
      <x:c r="P159" s="39" t="str">
        <x:v>Mostrar como talento do sul da Europa cria uma categoria global e qual vantagem técnica sustenta a escala.</x:v>
      </x:c>
      <x:c r="Q159" s="39" t="str">
        <x:v>Tese e equipa publicadas na página About Us.</x:v>
      </x:c>
      <x:c r="R159" s="39" t="str">
        <x:v>https://www.indicocapital.com/about-us</x:v>
      </x:c>
      <x:c r="S159" s="44" t="str">
        <x:v>2026-09-09</x:v>
      </x:c>
      <x:c r="T159" s="39" t="str">
        <x:v>Alta</x:v>
      </x:c>
      <x:c r="U159" s="39" t="str">
        <x:v>Enriquecido</x:v>
      </x:c>
      <x:c r="V159" s="39" t="str"/>
    </x:row>
    <x:row r="160" ht="40" customHeight="1">
      <x:c r="A160" s="39" t="str">
        <x:v>PER0159</x:v>
      </x:c>
      <x:c r="B160" s="39" t="str">
        <x:v>INV020</x:v>
      </x:c>
      <x:c r="C160" s="39" t="str">
        <x:v>Indico Capital Partners</x:v>
      </x:c>
      <x:c r="D160" s="39" t="str">
        <x:v>Rui Rodrigues</x:v>
      </x:c>
      <x:c r="E160" s="39" t="str">
        <x:v>Partner</x:v>
      </x:c>
      <x:c r="F160" s="39" t="str">
        <x:v>Sim</x:v>
      </x:c>
      <x:c r="G160" s="39" t="str">
        <x:v>Decisor</x:v>
      </x:c>
      <x:c r="H160" s="39" t="str">
        <x:v>Lisboa</x:v>
      </x:c>
      <x:c r="I160" s="39" t="str">
        <x:v>Investment; M&amp;A</x:v>
      </x:c>
      <x:c r="J160" s="39" t="str">
        <x:v>Pre-seed to Growth</x:v>
      </x:c>
      <x:c r="K160" s="39" t="str"/>
      <x:c r="L160" s="39" t="str"/>
      <x:c r="M160" s="39" t="str"/>
      <x:c r="N160" s="39" t="str"/>
      <x:c r="O160" s="39" t="str">
        <x:v>https://www.indicocapital.com/about-us</x:v>
      </x:c>
      <x:c r="P160" s="39" t="str">
        <x:v>Mostrar como talento do sul da Europa cria uma categoria global e qual vantagem técnica sustenta a escala.</x:v>
      </x:c>
      <x:c r="Q160" s="39" t="str">
        <x:v>Tese e equipa publicadas na página About Us.</x:v>
      </x:c>
      <x:c r="R160" s="39" t="str">
        <x:v>https://www.indicocapital.com/about-us</x:v>
      </x:c>
      <x:c r="S160" s="44" t="str">
        <x:v>2026-09-09</x:v>
      </x:c>
      <x:c r="T160" s="39" t="str">
        <x:v>Alta</x:v>
      </x:c>
      <x:c r="U160" s="39" t="str">
        <x:v>Base</x:v>
      </x:c>
      <x:c r="V160" s="39" t="str"/>
    </x:row>
    <x:row r="161" ht="40" customHeight="1">
      <x:c r="A161" s="39" t="str">
        <x:v>PER0160</x:v>
      </x:c>
      <x:c r="B161" s="39" t="str">
        <x:v>INV020</x:v>
      </x:c>
      <x:c r="C161" s="39" t="str">
        <x:v>Indico Capital Partners</x:v>
      </x:c>
      <x:c r="D161" s="39" t="str">
        <x:v>André Almeida Santos</x:v>
      </x:c>
      <x:c r="E161" s="39" t="str">
        <x:v>Partner</x:v>
      </x:c>
      <x:c r="F161" s="39" t="str">
        <x:v>Sim</x:v>
      </x:c>
      <x:c r="G161" s="39" t="str">
        <x:v>Decisor</x:v>
      </x:c>
      <x:c r="H161" s="39" t="str">
        <x:v>Lisboa</x:v>
      </x:c>
      <x:c r="I161" s="39" t="str">
        <x:v>Investment; international markets</x:v>
      </x:c>
      <x:c r="J161" s="39" t="str">
        <x:v>Pre-seed to Growth</x:v>
      </x:c>
      <x:c r="K161" s="39" t="str"/>
      <x:c r="L161" s="39" t="str"/>
      <x:c r="M161" s="39" t="str"/>
      <x:c r="N161" s="39" t="str"/>
      <x:c r="O161" s="39" t="str">
        <x:v>https://www.indicocapital.com/about-us</x:v>
      </x:c>
      <x:c r="P161" s="39" t="str">
        <x:v>Mostrar como talento do sul da Europa cria uma categoria global e qual vantagem técnica sustenta a escala.</x:v>
      </x:c>
      <x:c r="Q161" s="39" t="str">
        <x:v>Tese e equipa publicadas na página About Us.</x:v>
      </x:c>
      <x:c r="R161" s="39" t="str">
        <x:v>https://www.indicocapital.com/about-us</x:v>
      </x:c>
      <x:c r="S161" s="44" t="str">
        <x:v>2026-09-09</x:v>
      </x:c>
      <x:c r="T161" s="39" t="str">
        <x:v>Alta</x:v>
      </x:c>
      <x:c r="U161" s="39" t="str">
        <x:v>Base</x:v>
      </x:c>
      <x:c r="V161" s="39" t="str"/>
    </x:row>
    <x:row r="162" ht="40" customHeight="1">
      <x:c r="A162" s="39" t="str">
        <x:v>PER0161</x:v>
      </x:c>
      <x:c r="B162" s="39" t="str">
        <x:v>INV020</x:v>
      </x:c>
      <x:c r="C162" s="39" t="str">
        <x:v>Indico Capital Partners</x:v>
      </x:c>
      <x:c r="D162" s="39" t="str">
        <x:v>Rui Jerónimo</x:v>
      </x:c>
      <x:c r="E162" s="39" t="str">
        <x:v>Principal</x:v>
      </x:c>
      <x:c r="F162" s="39" t="str">
        <x:v>Rever</x:v>
      </x:c>
      <x:c r="G162" s="39" t="str">
        <x:v>Equipa de investimento</x:v>
      </x:c>
      <x:c r="H162" s="39" t="str">
        <x:v>Lisboa</x:v>
      </x:c>
      <x:c r="I162" s="39" t="str">
        <x:v>Technology</x:v>
      </x:c>
      <x:c r="J162" s="39" t="str">
        <x:v>Pre-seed to Growth</x:v>
      </x:c>
      <x:c r="K162" s="39" t="str"/>
      <x:c r="L162" s="39" t="str"/>
      <x:c r="M162" s="39" t="str"/>
      <x:c r="N162" s="39" t="str"/>
      <x:c r="O162" s="39" t="str">
        <x:v>https://www.indicocapital.com/about-us</x:v>
      </x:c>
      <x:c r="P162" s="39" t="str">
        <x:v>Mostrar como talento do sul da Europa cria uma categoria global e qual vantagem técnica sustenta a escala.</x:v>
      </x:c>
      <x:c r="Q162" s="39" t="str">
        <x:v>Tese e equipa publicadas na página About Us.</x:v>
      </x:c>
      <x:c r="R162" s="39" t="str">
        <x:v>https://www.indicocapital.com/about-us</x:v>
      </x:c>
      <x:c r="S162" s="44" t="str">
        <x:v>2026-09-09</x:v>
      </x:c>
      <x:c r="T162" s="39" t="str">
        <x:v>Alta</x:v>
      </x:c>
      <x:c r="U162" s="39" t="str">
        <x:v>Base</x:v>
      </x:c>
      <x:c r="V162" s="39" t="str"/>
    </x:row>
    <x:row r="163" ht="40" customHeight="1">
      <x:c r="A163" s="39" t="str">
        <x:v>PER0162</x:v>
      </x:c>
      <x:c r="B163" s="39" t="str">
        <x:v>INV020</x:v>
      </x:c>
      <x:c r="C163" s="39" t="str">
        <x:v>Indico Capital Partners</x:v>
      </x:c>
      <x:c r="D163" s="39" t="str">
        <x:v>João Pedro Roque</x:v>
      </x:c>
      <x:c r="E163" s="39" t="str">
        <x:v>Principal</x:v>
      </x:c>
      <x:c r="F163" s="39" t="str">
        <x:v>Rever</x:v>
      </x:c>
      <x:c r="G163" s="39" t="str">
        <x:v>Equipa de investimento</x:v>
      </x:c>
      <x:c r="H163" s="39" t="str">
        <x:v>Lisboa</x:v>
      </x:c>
      <x:c r="I163" s="39" t="str">
        <x:v>PE; VC; engineering</x:v>
      </x:c>
      <x:c r="J163" s="39" t="str">
        <x:v>Pre-seed to Growth</x:v>
      </x:c>
      <x:c r="K163" s="39" t="str"/>
      <x:c r="L163" s="39" t="str"/>
      <x:c r="M163" s="39" t="str"/>
      <x:c r="N163" s="39" t="str"/>
      <x:c r="O163" s="39" t="str">
        <x:v>https://www.indicocapital.com/about-us</x:v>
      </x:c>
      <x:c r="P163" s="39" t="str">
        <x:v>Mostrar como talento do sul da Europa cria uma categoria global e qual vantagem técnica sustenta a escala.</x:v>
      </x:c>
      <x:c r="Q163" s="39" t="str">
        <x:v>Tese e equipa publicadas na página About Us.</x:v>
      </x:c>
      <x:c r="R163" s="39" t="str">
        <x:v>https://www.indicocapital.com/about-us</x:v>
      </x:c>
      <x:c r="S163" s="44" t="str">
        <x:v>2026-09-09</x:v>
      </x:c>
      <x:c r="T163" s="39" t="str">
        <x:v>Alta</x:v>
      </x:c>
      <x:c r="U163" s="39" t="str">
        <x:v>Base</x:v>
      </x:c>
      <x:c r="V163" s="39" t="str"/>
    </x:row>
    <x:row r="164" ht="40" customHeight="1">
      <x:c r="A164" s="39" t="str">
        <x:v>PER0163</x:v>
      </x:c>
      <x:c r="B164" s="39" t="str">
        <x:v>INV020</x:v>
      </x:c>
      <x:c r="C164" s="39" t="str">
        <x:v>Indico Capital Partners</x:v>
      </x:c>
      <x:c r="D164" s="39" t="str">
        <x:v>Tomás Marchão Marques</x:v>
      </x:c>
      <x:c r="E164" s="39" t="str">
        <x:v>Investment Analyst</x:v>
      </x:c>
      <x:c r="F164" s="39" t="str">
        <x:v>Rever</x:v>
      </x:c>
      <x:c r="G164" s="39" t="str">
        <x:v>Equipa de investimento</x:v>
      </x:c>
      <x:c r="H164" s="39" t="str">
        <x:v>Lisboa</x:v>
      </x:c>
      <x:c r="I164" s="39" t="str">
        <x:v>Technology</x:v>
      </x:c>
      <x:c r="J164" s="39" t="str">
        <x:v>Pre-seed to Growth</x:v>
      </x:c>
      <x:c r="K164" s="39" t="str"/>
      <x:c r="L164" s="39" t="str"/>
      <x:c r="M164" s="39" t="str"/>
      <x:c r="N164" s="39" t="str"/>
      <x:c r="O164" s="39" t="str">
        <x:v>https://www.indicocapital.com/about-us</x:v>
      </x:c>
      <x:c r="P164" s="39" t="str">
        <x:v>Mostrar como talento do sul da Europa cria uma categoria global e qual vantagem técnica sustenta a escala.</x:v>
      </x:c>
      <x:c r="Q164" s="39" t="str">
        <x:v>Tese e equipa publicadas na página About Us.</x:v>
      </x:c>
      <x:c r="R164" s="39" t="str">
        <x:v>https://www.indicocapital.com/about-us</x:v>
      </x:c>
      <x:c r="S164" s="44" t="str">
        <x:v>2026-09-09</x:v>
      </x:c>
      <x:c r="T164" s="39" t="str">
        <x:v>Alta</x:v>
      </x:c>
      <x:c r="U164" s="39" t="str">
        <x:v>Base</x:v>
      </x:c>
      <x:c r="V164" s="39" t="str"/>
    </x:row>
    <x:row r="165" ht="40" customHeight="1">
      <x:c r="A165" s="39" t="str">
        <x:v>PER0164</x:v>
      </x:c>
      <x:c r="B165" s="39" t="str">
        <x:v>INV021</x:v>
      </x:c>
      <x:c r="C165" s="39" t="str">
        <x:v>Shilling</x:v>
      </x:c>
      <x:c r="D165" s="39" t="str">
        <x:v>Ricardo Jacinto</x:v>
      </x:c>
      <x:c r="E165" s="39" t="str">
        <x:v>Managing Partner</x:v>
      </x:c>
      <x:c r="F165" s="39" t="str">
        <x:v>Sim</x:v>
      </x:c>
      <x:c r="G165" s="39" t="str">
        <x:v>Decisor</x:v>
      </x:c>
      <x:c r="H165" s="39" t="str">
        <x:v>Lisboa</x:v>
      </x:c>
      <x:c r="I165" s="39" t="str">
        <x:v>Early-stage tech</x:v>
      </x:c>
      <x:c r="J165" s="39" t="str">
        <x:v>Pre-seed; Seed</x:v>
      </x:c>
      <x:c r="K165" s="39" t="str"/>
      <x:c r="L165" s="39" t="str"/>
      <x:c r="M165" s="39" t="str"/>
      <x:c r="N165" s="39" t="str"/>
      <x:c r="O165" s="39" t="str">
        <x:v>https://www.shilling.vc/team</x:v>
      </x:c>
      <x:c r="P165" s="39" t="str">
        <x:v>Mostrar velocidade, ambição global e que apoio específico da comunidade Shilling acelera a empresa.</x:v>
      </x:c>
      <x:c r="Q165" s="39" t="str">
        <x:v>Website publica modelo de comunidade e composição do IC.</x:v>
      </x:c>
      <x:c r="R165" s="39" t="str">
        <x:v>https://www.shilling.vc/team</x:v>
      </x:c>
      <x:c r="S165" s="44" t="str">
        <x:v>2026-09-09</x:v>
      </x:c>
      <x:c r="T165" s="39" t="str">
        <x:v>Alta</x:v>
      </x:c>
      <x:c r="U165" s="39" t="str">
        <x:v>Base</x:v>
      </x:c>
      <x:c r="V165" s="39" t="str"/>
    </x:row>
    <x:row r="166" ht="40" customHeight="1">
      <x:c r="A166" s="39" t="str">
        <x:v>PER0165</x:v>
      </x:c>
      <x:c r="B166" s="39" t="str">
        <x:v>INV021</x:v>
      </x:c>
      <x:c r="C166" s="39" t="str">
        <x:v>Shilling</x:v>
      </x:c>
      <x:c r="D166" s="39" t="str">
        <x:v>Pedro Ramalho Carlos</x:v>
      </x:c>
      <x:c r="E166" s="39" t="str">
        <x:v>General Partner</x:v>
      </x:c>
      <x:c r="F166" s="39" t="str">
        <x:v>Sim</x:v>
      </x:c>
      <x:c r="G166" s="39" t="str">
        <x:v>Decisor</x:v>
      </x:c>
      <x:c r="H166" s="39" t="str">
        <x:v>Lisboa</x:v>
      </x:c>
      <x:c r="I166" s="39" t="str">
        <x:v>Early-stage tech</x:v>
      </x:c>
      <x:c r="J166" s="39" t="str">
        <x:v>Pre-seed; Seed</x:v>
      </x:c>
      <x:c r="K166" s="39" t="str"/>
      <x:c r="L166" s="39" t="str"/>
      <x:c r="M166" s="39" t="str"/>
      <x:c r="N166" s="39" t="str"/>
      <x:c r="O166" s="39" t="str">
        <x:v>https://www.shilling.vc/team</x:v>
      </x:c>
      <x:c r="P166" s="39" t="str">
        <x:v>Mostrar velocidade, ambição global e que apoio específico da comunidade Shilling acelera a empresa.</x:v>
      </x:c>
      <x:c r="Q166" s="39" t="str">
        <x:v>Website publica modelo de comunidade e composição do IC.</x:v>
      </x:c>
      <x:c r="R166" s="39" t="str">
        <x:v>https://www.shilling.vc/team</x:v>
      </x:c>
      <x:c r="S166" s="44" t="str">
        <x:v>2026-09-09</x:v>
      </x:c>
      <x:c r="T166" s="39" t="str">
        <x:v>Alta</x:v>
      </x:c>
      <x:c r="U166" s="39" t="str">
        <x:v>Base</x:v>
      </x:c>
      <x:c r="V166" s="39" t="str"/>
    </x:row>
    <x:row r="167" ht="40" customHeight="1">
      <x:c r="A167" s="39" t="str">
        <x:v>PER0166</x:v>
      </x:c>
      <x:c r="B167" s="39" t="str">
        <x:v>INV021</x:v>
      </x:c>
      <x:c r="C167" s="39" t="str">
        <x:v>Shilling</x:v>
      </x:c>
      <x:c r="D167" s="39" t="str">
        <x:v>Hugo Gonçalves Pereira</x:v>
      </x:c>
      <x:c r="E167" s="39" t="str">
        <x:v>Founder, Venture Partner &amp; IC Member</x:v>
      </x:c>
      <x:c r="F167" s="39" t="str">
        <x:v>Sim</x:v>
      </x:c>
      <x:c r="G167" s="39" t="str">
        <x:v>Comité de investimento</x:v>
      </x:c>
      <x:c r="H167" s="39" t="str">
        <x:v>Lisboa</x:v>
      </x:c>
      <x:c r="I167" s="39" t="str">
        <x:v>Mobility; climate; company building</x:v>
      </x:c>
      <x:c r="J167" s="39" t="str">
        <x:v>Pre-seed; Seed</x:v>
      </x:c>
      <x:c r="K167" s="39" t="str"/>
      <x:c r="L167" s="39" t="str"/>
      <x:c r="M167" s="39" t="str"/>
      <x:c r="N167" s="39" t="str"/>
      <x:c r="O167" s="39" t="str">
        <x:v>https://www.shilling.vc/team</x:v>
      </x:c>
      <x:c r="P167" s="39" t="str">
        <x:v>Mostrar velocidade, ambição global e que apoio específico da comunidade Shilling acelera a empresa.</x:v>
      </x:c>
      <x:c r="Q167" s="39" t="str">
        <x:v>Website publica modelo de comunidade e composição do IC.</x:v>
      </x:c>
      <x:c r="R167" s="39" t="str">
        <x:v>https://www.shilling.vc/team</x:v>
      </x:c>
      <x:c r="S167" s="44" t="str">
        <x:v>2026-09-09</x:v>
      </x:c>
      <x:c r="T167" s="39" t="str">
        <x:v>Alta</x:v>
      </x:c>
      <x:c r="U167" s="39" t="str">
        <x:v>Base</x:v>
      </x:c>
      <x:c r="V167" s="39" t="str"/>
    </x:row>
    <x:row r="168" ht="40" customHeight="1">
      <x:c r="A168" s="39" t="str">
        <x:v>PER0167</x:v>
      </x:c>
      <x:c r="B168" s="39" t="str">
        <x:v>INV021</x:v>
      </x:c>
      <x:c r="C168" s="39" t="str">
        <x:v>Shilling</x:v>
      </x:c>
      <x:c r="D168" s="39" t="str">
        <x:v>Miguel Santo Amaro</x:v>
      </x:c>
      <x:c r="E168" s="39" t="str">
        <x:v>Venture Partner &amp; IC Member</x:v>
      </x:c>
      <x:c r="F168" s="39" t="str">
        <x:v>Sim</x:v>
      </x:c>
      <x:c r="G168" s="39" t="str">
        <x:v>Comité de investimento</x:v>
      </x:c>
      <x:c r="H168" s="39" t="str">
        <x:v>Lisboa</x:v>
      </x:c>
      <x:c r="I168" s="39" t="str">
        <x:v>SaaS; HR tech; founder experience</x:v>
      </x:c>
      <x:c r="J168" s="39" t="str">
        <x:v>Pre-seed; Seed</x:v>
      </x:c>
      <x:c r="K168" s="39" t="str"/>
      <x:c r="L168" s="39" t="str"/>
      <x:c r="M168" s="39" t="str"/>
      <x:c r="N168" s="39" t="str"/>
      <x:c r="O168" s="39" t="str">
        <x:v>https://www.shilling.vc/team</x:v>
      </x:c>
      <x:c r="P168" s="39" t="str">
        <x:v>Mostrar velocidade, ambição global e que apoio específico da comunidade Shilling acelera a empresa.</x:v>
      </x:c>
      <x:c r="Q168" s="39" t="str">
        <x:v>Website publica modelo de comunidade e composição do IC.</x:v>
      </x:c>
      <x:c r="R168" s="39" t="str">
        <x:v>https://www.shilling.vc/team</x:v>
      </x:c>
      <x:c r="S168" s="44" t="str">
        <x:v>2026-09-09</x:v>
      </x:c>
      <x:c r="T168" s="39" t="str">
        <x:v>Alta</x:v>
      </x:c>
      <x:c r="U168" s="39" t="str">
        <x:v>Base</x:v>
      </x:c>
      <x:c r="V168" s="39" t="str"/>
    </x:row>
    <x:row r="169" ht="40" customHeight="1">
      <x:c r="A169" s="39" t="str">
        <x:v>PER0168</x:v>
      </x:c>
      <x:c r="B169" s="39" t="str">
        <x:v>INV021</x:v>
      </x:c>
      <x:c r="C169" s="39" t="str">
        <x:v>Shilling</x:v>
      </x:c>
      <x:c r="D169" s="39" t="str">
        <x:v>Pedro Rosa</x:v>
      </x:c>
      <x:c r="E169" s="39" t="str">
        <x:v>Principal</x:v>
      </x:c>
      <x:c r="F169" s="39" t="str">
        <x:v>Rever</x:v>
      </x:c>
      <x:c r="G169" s="39" t="str">
        <x:v>Equipa de investimento</x:v>
      </x:c>
      <x:c r="H169" s="39" t="str">
        <x:v>Lisboa</x:v>
      </x:c>
      <x:c r="I169" s="39" t="str">
        <x:v>Technology</x:v>
      </x:c>
      <x:c r="J169" s="39" t="str">
        <x:v>Pre-seed; Seed</x:v>
      </x:c>
      <x:c r="K169" s="39" t="str"/>
      <x:c r="L169" s="39" t="str"/>
      <x:c r="M169" s="39" t="str"/>
      <x:c r="N169" s="39" t="str"/>
      <x:c r="O169" s="39" t="str">
        <x:v>https://www.shilling.vc/team</x:v>
      </x:c>
      <x:c r="P169" s="39" t="str">
        <x:v>Mostrar velocidade, ambição global e que apoio específico da comunidade Shilling acelera a empresa.</x:v>
      </x:c>
      <x:c r="Q169" s="39" t="str">
        <x:v>Website publica modelo de comunidade e composição do IC.</x:v>
      </x:c>
      <x:c r="R169" s="39" t="str">
        <x:v>https://www.shilling.vc/team</x:v>
      </x:c>
      <x:c r="S169" s="44" t="str">
        <x:v>2026-09-09</x:v>
      </x:c>
      <x:c r="T169" s="39" t="str">
        <x:v>Alta</x:v>
      </x:c>
      <x:c r="U169" s="39" t="str">
        <x:v>Base</x:v>
      </x:c>
      <x:c r="V169" s="39" t="str"/>
    </x:row>
    <x:row r="170" ht="40" customHeight="1">
      <x:c r="A170" s="39" t="str">
        <x:v>PER0169</x:v>
      </x:c>
      <x:c r="B170" s="39" t="str">
        <x:v>INV021</x:v>
      </x:c>
      <x:c r="C170" s="39" t="str">
        <x:v>Shilling</x:v>
      </x:c>
      <x:c r="D170" s="39" t="str">
        <x:v>Tomás Güida</x:v>
      </x:c>
      <x:c r="E170" s="39" t="str">
        <x:v>Principal</x:v>
      </x:c>
      <x:c r="F170" s="39" t="str">
        <x:v>Rever</x:v>
      </x:c>
      <x:c r="G170" s="39" t="str">
        <x:v>Equipa de investimento</x:v>
      </x:c>
      <x:c r="H170" s="39" t="str">
        <x:v>Lisboa</x:v>
      </x:c>
      <x:c r="I170" s="39" t="str">
        <x:v>Technology</x:v>
      </x:c>
      <x:c r="J170" s="39" t="str">
        <x:v>Pre-seed; Seed</x:v>
      </x:c>
      <x:c r="K170" s="39" t="str"/>
      <x:c r="L170" s="39" t="str"/>
      <x:c r="M170" s="39" t="str"/>
      <x:c r="N170" s="39" t="str"/>
      <x:c r="O170" s="39" t="str">
        <x:v>https://www.shilling.vc/team</x:v>
      </x:c>
      <x:c r="P170" s="39" t="str">
        <x:v>Mostrar velocidade, ambição global e que apoio específico da comunidade Shilling acelera a empresa.</x:v>
      </x:c>
      <x:c r="Q170" s="39" t="str">
        <x:v>Website publica modelo de comunidade e composição do IC.</x:v>
      </x:c>
      <x:c r="R170" s="39" t="str">
        <x:v>https://www.shilling.vc/team</x:v>
      </x:c>
      <x:c r="S170" s="44" t="str">
        <x:v>2026-09-09</x:v>
      </x:c>
      <x:c r="T170" s="39" t="str">
        <x:v>Alta</x:v>
      </x:c>
      <x:c r="U170" s="39" t="str">
        <x:v>Base</x:v>
      </x:c>
      <x:c r="V170" s="39" t="str"/>
    </x:row>
    <x:row r="171" ht="40" customHeight="1">
      <x:c r="A171" s="39" t="str">
        <x:v>PER0170</x:v>
      </x:c>
      <x:c r="B171" s="39" t="str">
        <x:v>INV021</x:v>
      </x:c>
      <x:c r="C171" s="39" t="str">
        <x:v>Shilling</x:v>
      </x:c>
      <x:c r="D171" s="39" t="str">
        <x:v>António Casanova</x:v>
      </x:c>
      <x:c r="E171" s="39" t="str">
        <x:v>Founder &amp; IC Member</x:v>
      </x:c>
      <x:c r="F171" s="39" t="str">
        <x:v>Sim</x:v>
      </x:c>
      <x:c r="G171" s="39" t="str">
        <x:v>Comité de investimento</x:v>
      </x:c>
      <x:c r="H171" s="39" t="str">
        <x:v>Lisboa</x:v>
      </x:c>
      <x:c r="I171" s="39" t="str">
        <x:v>Strategy; technology</x:v>
      </x:c>
      <x:c r="J171" s="39" t="str">
        <x:v>Pre-seed; Seed</x:v>
      </x:c>
      <x:c r="K171" s="39" t="str"/>
      <x:c r="L171" s="39" t="str"/>
      <x:c r="M171" s="39" t="str"/>
      <x:c r="N171" s="39" t="str"/>
      <x:c r="O171" s="39" t="str">
        <x:v>https://www.shilling.vc/team</x:v>
      </x:c>
      <x:c r="P171" s="39" t="str">
        <x:v>Mostrar velocidade, ambição global e que apoio específico da comunidade Shilling acelera a empresa.</x:v>
      </x:c>
      <x:c r="Q171" s="39" t="str">
        <x:v>Website publica modelo de comunidade e composição do IC.</x:v>
      </x:c>
      <x:c r="R171" s="39" t="str">
        <x:v>https://www.shilling.vc/team</x:v>
      </x:c>
      <x:c r="S171" s="44" t="str">
        <x:v>2026-09-09</x:v>
      </x:c>
      <x:c r="T171" s="39" t="str">
        <x:v>Alta</x:v>
      </x:c>
      <x:c r="U171" s="39" t="str">
        <x:v>Base</x:v>
      </x:c>
      <x:c r="V171" s="39" t="str"/>
    </x:row>
    <x:row r="172" ht="40" customHeight="1">
      <x:c r="A172" s="39" t="str">
        <x:v>PER0171</x:v>
      </x:c>
      <x:c r="B172" s="39" t="str">
        <x:v>INV021</x:v>
      </x:c>
      <x:c r="C172" s="39" t="str">
        <x:v>Shilling</x:v>
      </x:c>
      <x:c r="D172" s="39" t="str">
        <x:v>Diogo da Silveira</x:v>
      </x:c>
      <x:c r="E172" s="39" t="str">
        <x:v>Founder &amp; IC Member</x:v>
      </x:c>
      <x:c r="F172" s="39" t="str">
        <x:v>Sim</x:v>
      </x:c>
      <x:c r="G172" s="39" t="str">
        <x:v>Comité de investimento</x:v>
      </x:c>
      <x:c r="H172" s="39" t="str">
        <x:v>Lisboa</x:v>
      </x:c>
      <x:c r="I172" s="39" t="str">
        <x:v>Industry; strategy</x:v>
      </x:c>
      <x:c r="J172" s="39" t="str">
        <x:v>Pre-seed; Seed</x:v>
      </x:c>
      <x:c r="K172" s="39" t="str"/>
      <x:c r="L172" s="39" t="str"/>
      <x:c r="M172" s="39" t="str"/>
      <x:c r="N172" s="39" t="str"/>
      <x:c r="O172" s="39" t="str">
        <x:v>https://www.shilling.vc/team</x:v>
      </x:c>
      <x:c r="P172" s="39" t="str">
        <x:v>Mostrar velocidade, ambição global e que apoio específico da comunidade Shilling acelera a empresa.</x:v>
      </x:c>
      <x:c r="Q172" s="39" t="str">
        <x:v>Website publica modelo de comunidade e composição do IC.</x:v>
      </x:c>
      <x:c r="R172" s="39" t="str">
        <x:v>https://www.shilling.vc/team</x:v>
      </x:c>
      <x:c r="S172" s="44" t="str">
        <x:v>2026-09-09</x:v>
      </x:c>
      <x:c r="T172" s="39" t="str">
        <x:v>Alta</x:v>
      </x:c>
      <x:c r="U172" s="39" t="str">
        <x:v>Base</x:v>
      </x:c>
      <x:c r="V172" s="39" t="str"/>
    </x:row>
    <x:row r="173" ht="40" customHeight="1">
      <x:c r="A173" s="39" t="str">
        <x:v>PER0172</x:v>
      </x:c>
      <x:c r="B173" s="39" t="str">
        <x:v>INV021</x:v>
      </x:c>
      <x:c r="C173" s="39" t="str">
        <x:v>Shilling</x:v>
      </x:c>
      <x:c r="D173" s="39" t="str">
        <x:v>João Coelho Borges</x:v>
      </x:c>
      <x:c r="E173" s="39" t="str">
        <x:v>Founder &amp; IC Member</x:v>
      </x:c>
      <x:c r="F173" s="39" t="str">
        <x:v>Sim</x:v>
      </x:c>
      <x:c r="G173" s="39" t="str">
        <x:v>Comité de investimento</x:v>
      </x:c>
      <x:c r="H173" s="39" t="str">
        <x:v>Lisboa</x:v>
      </x:c>
      <x:c r="I173" s="39" t="str">
        <x:v>Investment</x:v>
      </x:c>
      <x:c r="J173" s="39" t="str">
        <x:v>Pre-seed; Seed</x:v>
      </x:c>
      <x:c r="K173" s="39" t="str"/>
      <x:c r="L173" s="39" t="str"/>
      <x:c r="M173" s="39" t="str"/>
      <x:c r="N173" s="39" t="str"/>
      <x:c r="O173" s="39" t="str">
        <x:v>https://www.shilling.vc/team</x:v>
      </x:c>
      <x:c r="P173" s="39" t="str">
        <x:v>Mostrar velocidade, ambição global e que apoio específico da comunidade Shilling acelera a empresa.</x:v>
      </x:c>
      <x:c r="Q173" s="39" t="str">
        <x:v>Website publica modelo de comunidade e composição do IC.</x:v>
      </x:c>
      <x:c r="R173" s="39" t="str">
        <x:v>https://www.shilling.vc/team</x:v>
      </x:c>
      <x:c r="S173" s="44" t="str">
        <x:v>2026-09-09</x:v>
      </x:c>
      <x:c r="T173" s="39" t="str">
        <x:v>Alta</x:v>
      </x:c>
      <x:c r="U173" s="39" t="str">
        <x:v>Base</x:v>
      </x:c>
      <x:c r="V173" s="39" t="str"/>
    </x:row>
    <x:row r="174" ht="40" customHeight="1">
      <x:c r="A174" s="39" t="str">
        <x:v>PER0173</x:v>
      </x:c>
      <x:c r="B174" s="39" t="str">
        <x:v>INV021</x:v>
      </x:c>
      <x:c r="C174" s="39" t="str">
        <x:v>Shilling</x:v>
      </x:c>
      <x:c r="D174" s="39" t="str">
        <x:v>Juan Alvarez</x:v>
      </x:c>
      <x:c r="E174" s="39" t="str">
        <x:v>Founder &amp; IC Member</x:v>
      </x:c>
      <x:c r="F174" s="39" t="str">
        <x:v>Sim</x:v>
      </x:c>
      <x:c r="G174" s="39" t="str">
        <x:v>Comité de investimento</x:v>
      </x:c>
      <x:c r="H174" s="39" t="str">
        <x:v>Lisboa</x:v>
      </x:c>
      <x:c r="I174" s="39" t="str">
        <x:v>Investment</x:v>
      </x:c>
      <x:c r="J174" s="39" t="str">
        <x:v>Pre-seed; Seed</x:v>
      </x:c>
      <x:c r="K174" s="39" t="str"/>
      <x:c r="L174" s="39" t="str"/>
      <x:c r="M174" s="39" t="str"/>
      <x:c r="N174" s="39" t="str"/>
      <x:c r="O174" s="39" t="str">
        <x:v>https://www.shilling.vc/team</x:v>
      </x:c>
      <x:c r="P174" s="39" t="str">
        <x:v>Mostrar velocidade, ambição global e que apoio específico da comunidade Shilling acelera a empresa.</x:v>
      </x:c>
      <x:c r="Q174" s="39" t="str">
        <x:v>Website publica modelo de comunidade e composição do IC.</x:v>
      </x:c>
      <x:c r="R174" s="39" t="str">
        <x:v>https://www.shilling.vc/team</x:v>
      </x:c>
      <x:c r="S174" s="44" t="str">
        <x:v>2026-09-09</x:v>
      </x:c>
      <x:c r="T174" s="39" t="str">
        <x:v>Alta</x:v>
      </x:c>
      <x:c r="U174" s="39" t="str">
        <x:v>Base</x:v>
      </x:c>
      <x:c r="V174" s="39" t="str"/>
    </x:row>
    <x:row r="175" ht="40" customHeight="1">
      <x:c r="A175" s="39" t="str">
        <x:v>PER0174</x:v>
      </x:c>
      <x:c r="B175" s="39" t="str">
        <x:v>INV021</x:v>
      </x:c>
      <x:c r="C175" s="39" t="str">
        <x:v>Shilling</x:v>
      </x:c>
      <x:c r="D175" s="39" t="str">
        <x:v>Pedro Santos Vieira</x:v>
      </x:c>
      <x:c r="E175" s="39" t="str">
        <x:v>IC Member</x:v>
      </x:c>
      <x:c r="F175" s="39" t="str">
        <x:v>Sim</x:v>
      </x:c>
      <x:c r="G175" s="39" t="str">
        <x:v>Comité de investimento</x:v>
      </x:c>
      <x:c r="H175" s="39" t="str">
        <x:v>Lisboa</x:v>
      </x:c>
      <x:c r="I175" s="39" t="str">
        <x:v>Technology</x:v>
      </x:c>
      <x:c r="J175" s="39" t="str">
        <x:v>Pre-seed; Seed</x:v>
      </x:c>
      <x:c r="K175" s="39" t="str"/>
      <x:c r="L175" s="39" t="str"/>
      <x:c r="M175" s="39" t="str"/>
      <x:c r="N175" s="39" t="str"/>
      <x:c r="O175" s="39" t="str">
        <x:v>https://www.shilling.vc/team</x:v>
      </x:c>
      <x:c r="P175" s="39" t="str">
        <x:v>Mostrar velocidade, ambição global e que apoio específico da comunidade Shilling acelera a empresa.</x:v>
      </x:c>
      <x:c r="Q175" s="39" t="str">
        <x:v>Website publica modelo de comunidade e composição do IC.</x:v>
      </x:c>
      <x:c r="R175" s="39" t="str">
        <x:v>https://www.shilling.vc/team</x:v>
      </x:c>
      <x:c r="S175" s="44" t="str">
        <x:v>2026-09-09</x:v>
      </x:c>
      <x:c r="T175" s="39" t="str">
        <x:v>Alta</x:v>
      </x:c>
      <x:c r="U175" s="39" t="str">
        <x:v>Base</x:v>
      </x:c>
      <x:c r="V175" s="39" t="str"/>
    </x:row>
    <x:row r="176" ht="40" customHeight="1">
      <x:c r="A176" s="39" t="str">
        <x:v>PER0175</x:v>
      </x:c>
      <x:c r="B176" s="39" t="str">
        <x:v>INV021</x:v>
      </x:c>
      <x:c r="C176" s="39" t="str">
        <x:v>Shilling</x:v>
      </x:c>
      <x:c r="D176" s="39" t="str">
        <x:v>Pedro Rutkowski</x:v>
      </x:c>
      <x:c r="E176" s="39" t="str">
        <x:v>Founder &amp; IC Member</x:v>
      </x:c>
      <x:c r="F176" s="39" t="str">
        <x:v>Sim</x:v>
      </x:c>
      <x:c r="G176" s="39" t="str">
        <x:v>Comité de investimento</x:v>
      </x:c>
      <x:c r="H176" s="39" t="str">
        <x:v>Lisboa</x:v>
      </x:c>
      <x:c r="I176" s="39" t="str">
        <x:v>Investment</x:v>
      </x:c>
      <x:c r="J176" s="39" t="str">
        <x:v>Pre-seed; Seed</x:v>
      </x:c>
      <x:c r="K176" s="39" t="str"/>
      <x:c r="L176" s="39" t="str"/>
      <x:c r="M176" s="39" t="str"/>
      <x:c r="N176" s="39" t="str"/>
      <x:c r="O176" s="39" t="str">
        <x:v>https://www.shilling.vc/team</x:v>
      </x:c>
      <x:c r="P176" s="39" t="str">
        <x:v>Mostrar velocidade, ambição global e que apoio específico da comunidade Shilling acelera a empresa.</x:v>
      </x:c>
      <x:c r="Q176" s="39" t="str">
        <x:v>Website publica modelo de comunidade e composição do IC.</x:v>
      </x:c>
      <x:c r="R176" s="39" t="str">
        <x:v>https://www.shilling.vc/team</x:v>
      </x:c>
      <x:c r="S176" s="44" t="str">
        <x:v>2026-09-09</x:v>
      </x:c>
      <x:c r="T176" s="39" t="str">
        <x:v>Alta</x:v>
      </x:c>
      <x:c r="U176" s="39" t="str">
        <x:v>Base</x:v>
      </x:c>
      <x:c r="V176" s="39" t="str"/>
    </x:row>
    <x:row r="177" ht="40" customHeight="1">
      <x:c r="A177" s="39" t="str">
        <x:v>PER0176</x:v>
      </x:c>
      <x:c r="B177" s="39" t="str">
        <x:v>INV022</x:v>
      </x:c>
      <x:c r="C177" s="39" t="str">
        <x:v>Armilar Venture Partners</x:v>
      </x:c>
      <x:c r="D177" s="39" t="str">
        <x:v>Joaquim Sérvulo Rodrigues</x:v>
      </x:c>
      <x:c r="E177" s="39" t="str">
        <x:v>Managing Partner</x:v>
      </x:c>
      <x:c r="F177" s="39" t="str">
        <x:v>Sim</x:v>
      </x:c>
      <x:c r="G177" s="39" t="str">
        <x:v>Decisor</x:v>
      </x:c>
      <x:c r="H177" s="39" t="str">
        <x:v>Lisboa</x:v>
      </x:c>
      <x:c r="I177" s="39" t="str">
        <x:v>Tech at the core</x:v>
      </x:c>
      <x:c r="J177" s="39" t="str">
        <x:v>Pre-seed to Series B</x:v>
      </x:c>
      <x:c r="K177" s="39" t="str"/>
      <x:c r="L177" s="39" t="str"/>
      <x:c r="M177" s="39" t="str"/>
      <x:c r="N177" s="39" t="str"/>
      <x:c r="O177" s="39" t="str">
        <x:v>https://www.armilar.com/team</x:v>
      </x:c>
      <x:c r="P177" s="39" t="str">
        <x:v>Começar pela diferenciação tecnológica, pelo problema global e pelos sinais de que a solução é muito mais que incremental.</x:v>
      </x:c>
      <x:c r="Q177" s="39" t="str">
        <x:v>Filosofia pública explicita estes critérios.</x:v>
      </x:c>
      <x:c r="R177" s="39" t="str">
        <x:v>https://www.armilar.com/why-armilar</x:v>
      </x:c>
      <x:c r="S177" s="44" t="str">
        <x:v>2026-09-09</x:v>
      </x:c>
      <x:c r="T177" s="39" t="str">
        <x:v>Alta</x:v>
      </x:c>
      <x:c r="U177" s="39" t="str">
        <x:v>Base</x:v>
      </x:c>
      <x:c r="V177" s="39" t="str"/>
    </x:row>
    <x:row r="178" ht="40" customHeight="1">
      <x:c r="A178" s="39" t="str">
        <x:v>PER0177</x:v>
      </x:c>
      <x:c r="B178" s="39" t="str">
        <x:v>INV022</x:v>
      </x:c>
      <x:c r="C178" s="39" t="str">
        <x:v>Armilar Venture Partners</x:v>
      </x:c>
      <x:c r="D178" s="39" t="str">
        <x:v>Pedro Ribeiro Santos</x:v>
      </x:c>
      <x:c r="E178" s="39" t="str">
        <x:v>Managing Partner</x:v>
      </x:c>
      <x:c r="F178" s="39" t="str">
        <x:v>Sim</x:v>
      </x:c>
      <x:c r="G178" s="39" t="str">
        <x:v>Decisor</x:v>
      </x:c>
      <x:c r="H178" s="39" t="str">
        <x:v>Lisboa</x:v>
      </x:c>
      <x:c r="I178" s="39" t="str">
        <x:v>B2B; deeptech; Series A</x:v>
      </x:c>
      <x:c r="J178" s="39" t="str">
        <x:v>Pre-seed to Series B</x:v>
      </x:c>
      <x:c r="K178" s="39" t="str"/>
      <x:c r="L178" s="39" t="str"/>
      <x:c r="M178" s="39" t="str"/>
      <x:c r="N178" s="39" t="str"/>
      <x:c r="O178" s="39" t="str">
        <x:v>https://www.armilar.com/team</x:v>
      </x:c>
      <x:c r="P178" s="39" t="str">
        <x:v>Começar pela diferenciação tecnológica, pelo problema global e pelos sinais de que a solução é muito mais que incremental.</x:v>
      </x:c>
      <x:c r="Q178" s="39" t="str">
        <x:v>Filosofia pública explicita estes critérios.</x:v>
      </x:c>
      <x:c r="R178" s="39" t="str">
        <x:v>https://www.armilar.com/why-armilar</x:v>
      </x:c>
      <x:c r="S178" s="44" t="str">
        <x:v>2026-09-09</x:v>
      </x:c>
      <x:c r="T178" s="39" t="str">
        <x:v>Alta</x:v>
      </x:c>
      <x:c r="U178" s="39" t="str">
        <x:v>Enriquecido</x:v>
      </x:c>
      <x:c r="V178" s="39" t="str"/>
    </x:row>
    <x:row r="179" ht="40" customHeight="1">
      <x:c r="A179" s="39" t="str">
        <x:v>PER0178</x:v>
      </x:c>
      <x:c r="B179" s="39" t="str">
        <x:v>INV022</x:v>
      </x:c>
      <x:c r="C179" s="39" t="str">
        <x:v>Armilar Venture Partners</x:v>
      </x:c>
      <x:c r="D179" s="39" t="str">
        <x:v>Duarte Mineiro</x:v>
      </x:c>
      <x:c r="E179" s="39" t="str">
        <x:v>Managing Partner</x:v>
      </x:c>
      <x:c r="F179" s="39" t="str">
        <x:v>Sim</x:v>
      </x:c>
      <x:c r="G179" s="39" t="str">
        <x:v>Decisor</x:v>
      </x:c>
      <x:c r="H179" s="39" t="str">
        <x:v>Lisboa</x:v>
      </x:c>
      <x:c r="I179" s="39" t="str">
        <x:v>Deeptech; Iberia; Europe</x:v>
      </x:c>
      <x:c r="J179" s="39" t="str">
        <x:v>Pre-seed to Series B</x:v>
      </x:c>
      <x:c r="K179" s="39" t="str"/>
      <x:c r="L179" s="39" t="str"/>
      <x:c r="M179" s="39" t="str"/>
      <x:c r="N179" s="39" t="str"/>
      <x:c r="O179" s="39" t="str">
        <x:v>https://www.armilar.com/team</x:v>
      </x:c>
      <x:c r="P179" s="39" t="str">
        <x:v>Começar pela diferenciação tecnológica, pelo problema global e pelos sinais de que a solução é muito mais que incremental.</x:v>
      </x:c>
      <x:c r="Q179" s="39" t="str">
        <x:v>Filosofia pública explicita estes critérios.</x:v>
      </x:c>
      <x:c r="R179" s="39" t="str">
        <x:v>https://www.armilar.com/why-armilar</x:v>
      </x:c>
      <x:c r="S179" s="44" t="str">
        <x:v>2026-09-09</x:v>
      </x:c>
      <x:c r="T179" s="39" t="str">
        <x:v>Alta</x:v>
      </x:c>
      <x:c r="U179" s="39" t="str">
        <x:v>Enriquecido</x:v>
      </x:c>
      <x:c r="V179" s="39" t="str"/>
    </x:row>
    <x:row r="180" ht="40" customHeight="1">
      <x:c r="A180" s="39" t="str">
        <x:v>PER0179</x:v>
      </x:c>
      <x:c r="B180" s="39" t="str">
        <x:v>INV022</x:v>
      </x:c>
      <x:c r="C180" s="39" t="str">
        <x:v>Armilar Venture Partners</x:v>
      </x:c>
      <x:c r="D180" s="39" t="str">
        <x:v>Nuno Leite</x:v>
      </x:c>
      <x:c r="E180" s="39" t="str">
        <x:v>Managing Partner - CFO</x:v>
      </x:c>
      <x:c r="F180" s="39" t="str">
        <x:v>Sim</x:v>
      </x:c>
      <x:c r="G180" s="39" t="str">
        <x:v>Decisor</x:v>
      </x:c>
      <x:c r="H180" s="39" t="str">
        <x:v>Lisboa</x:v>
      </x:c>
      <x:c r="I180" s="39" t="str">
        <x:v>Finance; fund management</x:v>
      </x:c>
      <x:c r="J180" s="39" t="str">
        <x:v>Pre-seed to Series B</x:v>
      </x:c>
      <x:c r="K180" s="39" t="str"/>
      <x:c r="L180" s="39" t="str"/>
      <x:c r="M180" s="39" t="str"/>
      <x:c r="N180" s="39" t="str"/>
      <x:c r="O180" s="39" t="str">
        <x:v>https://www.armilar.com/team</x:v>
      </x:c>
      <x:c r="P180" s="39" t="str">
        <x:v>Começar pela diferenciação tecnológica, pelo problema global e pelos sinais de que a solução é muito mais que incremental.</x:v>
      </x:c>
      <x:c r="Q180" s="39" t="str">
        <x:v>Filosofia pública explicita estes critérios.</x:v>
      </x:c>
      <x:c r="R180" s="39" t="str">
        <x:v>https://www.armilar.com/why-armilar</x:v>
      </x:c>
      <x:c r="S180" s="44" t="str">
        <x:v>2026-09-09</x:v>
      </x:c>
      <x:c r="T180" s="39" t="str">
        <x:v>Alta</x:v>
      </x:c>
      <x:c r="U180" s="39" t="str">
        <x:v>Base</x:v>
      </x:c>
      <x:c r="V180" s="39" t="str"/>
    </x:row>
    <x:row r="181" ht="40" customHeight="1">
      <x:c r="A181" s="39" t="str">
        <x:v>PER0180</x:v>
      </x:c>
      <x:c r="B181" s="39" t="str">
        <x:v>INV022</x:v>
      </x:c>
      <x:c r="C181" s="39" t="str">
        <x:v>Armilar Venture Partners</x:v>
      </x:c>
      <x:c r="D181" s="39" t="str">
        <x:v>João Dias</x:v>
      </x:c>
      <x:c r="E181" s="39" t="str">
        <x:v>Investment Partner</x:v>
      </x:c>
      <x:c r="F181" s="39" t="str">
        <x:v>Sim</x:v>
      </x:c>
      <x:c r="G181" s="39" t="str">
        <x:v>Decisor</x:v>
      </x:c>
      <x:c r="H181" s="39" t="str">
        <x:v>Lisboa</x:v>
      </x:c>
      <x:c r="I181" s="39" t="str">
        <x:v>Technology</x:v>
      </x:c>
      <x:c r="J181" s="39" t="str">
        <x:v>Pre-seed to Series B</x:v>
      </x:c>
      <x:c r="K181" s="39" t="str"/>
      <x:c r="L181" s="39" t="str"/>
      <x:c r="M181" s="39" t="str"/>
      <x:c r="N181" s="39" t="str"/>
      <x:c r="O181" s="39" t="str">
        <x:v>https://www.armilar.com/team</x:v>
      </x:c>
      <x:c r="P181" s="39" t="str">
        <x:v>Começar pela diferenciação tecnológica, pelo problema global e pelos sinais de que a solução é muito mais que incremental.</x:v>
      </x:c>
      <x:c r="Q181" s="39" t="str">
        <x:v>Filosofia pública explicita estes critérios.</x:v>
      </x:c>
      <x:c r="R181" s="39" t="str">
        <x:v>https://www.armilar.com/why-armilar</x:v>
      </x:c>
      <x:c r="S181" s="44" t="str">
        <x:v>2026-09-09</x:v>
      </x:c>
      <x:c r="T181" s="39" t="str">
        <x:v>Alta</x:v>
      </x:c>
      <x:c r="U181" s="39" t="str">
        <x:v>Base</x:v>
      </x:c>
      <x:c r="V181" s="39" t="str"/>
    </x:row>
    <x:row r="182" ht="40" customHeight="1">
      <x:c r="A182" s="39" t="str">
        <x:v>PER0181</x:v>
      </x:c>
      <x:c r="B182" s="39" t="str">
        <x:v>INV022</x:v>
      </x:c>
      <x:c r="C182" s="39" t="str">
        <x:v>Armilar Venture Partners</x:v>
      </x:c>
      <x:c r="D182" s="39" t="str">
        <x:v>Rodolfo Condessa</x:v>
      </x:c>
      <x:c r="E182" s="39" t="str">
        <x:v>Investment Partner</x:v>
      </x:c>
      <x:c r="F182" s="39" t="str">
        <x:v>Sim</x:v>
      </x:c>
      <x:c r="G182" s="39" t="str">
        <x:v>Decisor</x:v>
      </x:c>
      <x:c r="H182" s="39" t="str">
        <x:v>Lisboa</x:v>
      </x:c>
      <x:c r="I182" s="39" t="str">
        <x:v>Technology</x:v>
      </x:c>
      <x:c r="J182" s="39" t="str">
        <x:v>Pre-seed to Series B</x:v>
      </x:c>
      <x:c r="K182" s="39" t="str"/>
      <x:c r="L182" s="39" t="str"/>
      <x:c r="M182" s="39" t="str"/>
      <x:c r="N182" s="39" t="str"/>
      <x:c r="O182" s="39" t="str">
        <x:v>https://www.armilar.com/team</x:v>
      </x:c>
      <x:c r="P182" s="39" t="str">
        <x:v>Começar pela diferenciação tecnológica, pelo problema global e pelos sinais de que a solução é muito mais que incremental.</x:v>
      </x:c>
      <x:c r="Q182" s="39" t="str">
        <x:v>Filosofia pública explicita estes critérios.</x:v>
      </x:c>
      <x:c r="R182" s="39" t="str">
        <x:v>https://www.armilar.com/why-armilar</x:v>
      </x:c>
      <x:c r="S182" s="44" t="str">
        <x:v>2026-09-09</x:v>
      </x:c>
      <x:c r="T182" s="39" t="str">
        <x:v>Alta</x:v>
      </x:c>
      <x:c r="U182" s="39" t="str">
        <x:v>Base</x:v>
      </x:c>
      <x:c r="V182" s="39" t="str"/>
    </x:row>
    <x:row r="183" ht="40" customHeight="1">
      <x:c r="A183" s="39" t="str">
        <x:v>PER0182</x:v>
      </x:c>
      <x:c r="B183" s="39" t="str">
        <x:v>INV022</x:v>
      </x:c>
      <x:c r="C183" s="39" t="str">
        <x:v>Armilar Venture Partners</x:v>
      </x:c>
      <x:c r="D183" s="39" t="str">
        <x:v>Pedro Castel-Branco</x:v>
      </x:c>
      <x:c r="E183" s="39" t="str">
        <x:v>Principal</x:v>
      </x:c>
      <x:c r="F183" s="39" t="str">
        <x:v>Rever</x:v>
      </x:c>
      <x:c r="G183" s="39" t="str">
        <x:v>Equipa de investimento</x:v>
      </x:c>
      <x:c r="H183" s="39" t="str">
        <x:v>Lisboa</x:v>
      </x:c>
      <x:c r="I183" s="39" t="str">
        <x:v>Technology</x:v>
      </x:c>
      <x:c r="J183" s="39" t="str">
        <x:v>Pre-seed to Series B</x:v>
      </x:c>
      <x:c r="K183" s="39" t="str"/>
      <x:c r="L183" s="39" t="str"/>
      <x:c r="M183" s="39" t="str"/>
      <x:c r="N183" s="39" t="str"/>
      <x:c r="O183" s="39" t="str">
        <x:v>https://www.armilar.com/team</x:v>
      </x:c>
      <x:c r="P183" s="39" t="str">
        <x:v>Começar pela diferenciação tecnológica, pelo problema global e pelos sinais de que a solução é muito mais que incremental.</x:v>
      </x:c>
      <x:c r="Q183" s="39" t="str">
        <x:v>Filosofia pública explicita estes critérios.</x:v>
      </x:c>
      <x:c r="R183" s="39" t="str">
        <x:v>https://www.armilar.com/why-armilar</x:v>
      </x:c>
      <x:c r="S183" s="44" t="str">
        <x:v>2026-09-09</x:v>
      </x:c>
      <x:c r="T183" s="39" t="str">
        <x:v>Alta</x:v>
      </x:c>
      <x:c r="U183" s="39" t="str">
        <x:v>Base</x:v>
      </x:c>
      <x:c r="V183" s="39" t="str"/>
    </x:row>
    <x:row r="184" ht="40" customHeight="1">
      <x:c r="A184" s="39" t="str">
        <x:v>PER0183</x:v>
      </x:c>
      <x:c r="B184" s="39" t="str">
        <x:v>INV022</x:v>
      </x:c>
      <x:c r="C184" s="39" t="str">
        <x:v>Armilar Venture Partners</x:v>
      </x:c>
      <x:c r="D184" s="39" t="str">
        <x:v>Inês de Macedo Santos</x:v>
      </x:c>
      <x:c r="E184" s="39" t="str">
        <x:v>Principal</x:v>
      </x:c>
      <x:c r="F184" s="39" t="str">
        <x:v>Rever</x:v>
      </x:c>
      <x:c r="G184" s="39" t="str">
        <x:v>Equipa de investimento</x:v>
      </x:c>
      <x:c r="H184" s="39" t="str">
        <x:v>Lisboa</x:v>
      </x:c>
      <x:c r="I184" s="39" t="str">
        <x:v>Technology</x:v>
      </x:c>
      <x:c r="J184" s="39" t="str">
        <x:v>Pre-seed to Series B</x:v>
      </x:c>
      <x:c r="K184" s="39" t="str"/>
      <x:c r="L184" s="39" t="str"/>
      <x:c r="M184" s="39" t="str"/>
      <x:c r="N184" s="39" t="str"/>
      <x:c r="O184" s="39" t="str">
        <x:v>https://www.armilar.com/team</x:v>
      </x:c>
      <x:c r="P184" s="39" t="str">
        <x:v>Começar pela diferenciação tecnológica, pelo problema global e pelos sinais de que a solução é muito mais que incremental.</x:v>
      </x:c>
      <x:c r="Q184" s="39" t="str">
        <x:v>Filosofia pública explicita estes critérios.</x:v>
      </x:c>
      <x:c r="R184" s="39" t="str">
        <x:v>https://www.armilar.com/why-armilar</x:v>
      </x:c>
      <x:c r="S184" s="44" t="str">
        <x:v>2026-09-09</x:v>
      </x:c>
      <x:c r="T184" s="39" t="str">
        <x:v>Alta</x:v>
      </x:c>
      <x:c r="U184" s="39" t="str">
        <x:v>Base</x:v>
      </x:c>
      <x:c r="V184" s="39" t="str"/>
    </x:row>
    <x:row r="185" ht="40" customHeight="1">
      <x:c r="A185" s="39" t="str">
        <x:v>PER0184</x:v>
      </x:c>
      <x:c r="B185" s="39" t="str">
        <x:v>INV022</x:v>
      </x:c>
      <x:c r="C185" s="39" t="str">
        <x:v>Armilar Venture Partners</x:v>
      </x:c>
      <x:c r="D185" s="39" t="str">
        <x:v>Pedro Almeida</x:v>
      </x:c>
      <x:c r="E185" s="39" t="str">
        <x:v>Principal</x:v>
      </x:c>
      <x:c r="F185" s="39" t="str">
        <x:v>Rever</x:v>
      </x:c>
      <x:c r="G185" s="39" t="str">
        <x:v>Equipa de investimento</x:v>
      </x:c>
      <x:c r="H185" s="39" t="str">
        <x:v>Lisboa</x:v>
      </x:c>
      <x:c r="I185" s="39" t="str">
        <x:v>Technology</x:v>
      </x:c>
      <x:c r="J185" s="39" t="str">
        <x:v>Pre-seed to Series B</x:v>
      </x:c>
      <x:c r="K185" s="39" t="str"/>
      <x:c r="L185" s="39" t="str"/>
      <x:c r="M185" s="39" t="str"/>
      <x:c r="N185" s="39" t="str"/>
      <x:c r="O185" s="39" t="str">
        <x:v>https://www.armilar.com/team</x:v>
      </x:c>
      <x:c r="P185" s="39" t="str">
        <x:v>Começar pela diferenciação tecnológica, pelo problema global e pelos sinais de que a solução é muito mais que incremental.</x:v>
      </x:c>
      <x:c r="Q185" s="39" t="str">
        <x:v>Filosofia pública explicita estes critérios.</x:v>
      </x:c>
      <x:c r="R185" s="39" t="str">
        <x:v>https://www.armilar.com/why-armilar</x:v>
      </x:c>
      <x:c r="S185" s="44" t="str">
        <x:v>2026-09-09</x:v>
      </x:c>
      <x:c r="T185" s="39" t="str">
        <x:v>Alta</x:v>
      </x:c>
      <x:c r="U185" s="39" t="str">
        <x:v>Base</x:v>
      </x:c>
      <x:c r="V185" s="39" t="str"/>
    </x:row>
    <x:row r="186" ht="40" customHeight="1">
      <x:c r="A186" s="39" t="str">
        <x:v>PER0185</x:v>
      </x:c>
      <x:c r="B186" s="39" t="str">
        <x:v>INV022</x:v>
      </x:c>
      <x:c r="C186" s="39" t="str">
        <x:v>Armilar Venture Partners</x:v>
      </x:c>
      <x:c r="D186" s="39" t="str">
        <x:v>Darío Villena</x:v>
      </x:c>
      <x:c r="E186" s="39" t="str">
        <x:v>Principal</x:v>
      </x:c>
      <x:c r="F186" s="39" t="str">
        <x:v>Rever</x:v>
      </x:c>
      <x:c r="G186" s="39" t="str">
        <x:v>Equipa de investimento</x:v>
      </x:c>
      <x:c r="H186" s="39" t="str"/>
      <x:c r="I186" s="39" t="str">
        <x:v>Technology</x:v>
      </x:c>
      <x:c r="J186" s="39" t="str">
        <x:v>Pre-seed to Series B</x:v>
      </x:c>
      <x:c r="K186" s="39" t="str"/>
      <x:c r="L186" s="39" t="str"/>
      <x:c r="M186" s="39" t="str"/>
      <x:c r="N186" s="39" t="str"/>
      <x:c r="O186" s="39" t="str">
        <x:v>https://www.armilar.com/team</x:v>
      </x:c>
      <x:c r="P186" s="39" t="str">
        <x:v>Começar pela diferenciação tecnológica, pelo problema global e pelos sinais de que a solução é muito mais que incremental.</x:v>
      </x:c>
      <x:c r="Q186" s="39" t="str">
        <x:v>Filosofia pública explicita estes critérios.</x:v>
      </x:c>
      <x:c r="R186" s="39" t="str">
        <x:v>https://www.armilar.com/why-armilar</x:v>
      </x:c>
      <x:c r="S186" s="44" t="str">
        <x:v>2026-09-09</x:v>
      </x:c>
      <x:c r="T186" s="39" t="str">
        <x:v>Alta</x:v>
      </x:c>
      <x:c r="U186" s="39" t="str">
        <x:v>Base</x:v>
      </x:c>
      <x:c r="V186" s="39" t="str"/>
    </x:row>
    <x:row r="187" ht="40" customHeight="1">
      <x:c r="A187" s="39" t="str">
        <x:v>PER0186</x:v>
      </x:c>
      <x:c r="B187" s="39" t="str">
        <x:v>INV023</x:v>
      </x:c>
      <x:c r="C187" s="39" t="str">
        <x:v>Hoxton Ventures</x:v>
      </x:c>
      <x:c r="D187" s="39" t="str">
        <x:v>Hussein Kanji</x:v>
      </x:c>
      <x:c r="E187" s="39" t="str">
        <x:v>Partner</x:v>
      </x:c>
      <x:c r="F187" s="39" t="str">
        <x:v>Sim</x:v>
      </x:c>
      <x:c r="G187" s="39" t="str">
        <x:v>Decisor</x:v>
      </x:c>
      <x:c r="H187" s="39" t="str">
        <x:v>Londres</x:v>
      </x:c>
      <x:c r="I187" s="39" t="str">
        <x:v>Software; AI; Europe-to-global</x:v>
      </x:c>
      <x:c r="J187" s="39" t="str">
        <x:v>Pre-seed; Seed</x:v>
      </x:c>
      <x:c r="K187" s="39" t="str"/>
      <x:c r="L187" s="39" t="str"/>
      <x:c r="M187" s="39" t="str"/>
      <x:c r="N187" s="39" t="str"/>
      <x:c r="O187" s="39" t="str">
        <x:v>https://hoxtonventures.com/team/</x:v>
      </x:c>
      <x:c r="P187" s="39" t="str">
        <x:v>Mostrar uma ambição global desproporcional ao ponto de partida europeu.</x:v>
      </x:c>
      <x:c r="Q187" s="39" t="str">
        <x:v>Hoxton apresenta-se como partner-only e formada por builders.</x:v>
      </x:c>
      <x:c r="R187" s="39" t="str">
        <x:v>https://hoxtonventures.com/team/</x:v>
      </x:c>
      <x:c r="S187" s="44" t="str">
        <x:v>2026-09-09</x:v>
      </x:c>
      <x:c r="T187" s="39" t="str">
        <x:v>Alta</x:v>
      </x:c>
      <x:c r="U187" s="39" t="str">
        <x:v>Base</x:v>
      </x:c>
      <x:c r="V187" s="39" t="str"/>
    </x:row>
    <x:row r="188" ht="40" customHeight="1">
      <x:c r="A188" s="39" t="str">
        <x:v>PER0187</x:v>
      </x:c>
      <x:c r="B188" s="39" t="str">
        <x:v>INV023</x:v>
      </x:c>
      <x:c r="C188" s="39" t="str">
        <x:v>Hoxton Ventures</x:v>
      </x:c>
      <x:c r="D188" s="39" t="str">
        <x:v>Payton Dobbs</x:v>
      </x:c>
      <x:c r="E188" s="39" t="str">
        <x:v>Operating Partner</x:v>
      </x:c>
      <x:c r="F188" s="39" t="str">
        <x:v>Rever</x:v>
      </x:c>
      <x:c r="G188" s="39" t="str">
        <x:v>Influenciador</x:v>
      </x:c>
      <x:c r="H188" s="39" t="str">
        <x:v>Londres</x:v>
      </x:c>
      <x:c r="I188" s="39" t="str">
        <x:v>Company building</x:v>
      </x:c>
      <x:c r="J188" s="39" t="str">
        <x:v>Pre-seed; Seed</x:v>
      </x:c>
      <x:c r="K188" s="39" t="str"/>
      <x:c r="L188" s="39" t="str"/>
      <x:c r="M188" s="39" t="str"/>
      <x:c r="N188" s="39" t="str"/>
      <x:c r="O188" s="39" t="str">
        <x:v>https://hoxtonventures.com/team/</x:v>
      </x:c>
      <x:c r="P188" s="39" t="str">
        <x:v>Mostrar uma ambição global desproporcional ao ponto de partida europeu.</x:v>
      </x:c>
      <x:c r="Q188" s="39" t="str">
        <x:v>Hoxton apresenta-se como partner-only e formada por builders.</x:v>
      </x:c>
      <x:c r="R188" s="39" t="str">
        <x:v>https://hoxtonventures.com/team/</x:v>
      </x:c>
      <x:c r="S188" s="44" t="str">
        <x:v>2026-09-09</x:v>
      </x:c>
      <x:c r="T188" s="39" t="str">
        <x:v>Alta</x:v>
      </x:c>
      <x:c r="U188" s="39" t="str">
        <x:v>Base</x:v>
      </x:c>
      <x:c r="V188" s="39" t="str"/>
    </x:row>
    <x:row r="189" ht="40" customHeight="1">
      <x:c r="A189" s="39" t="str">
        <x:v>PER0188</x:v>
      </x:c>
      <x:c r="B189" s="39" t="str">
        <x:v>INV023</x:v>
      </x:c>
      <x:c r="C189" s="39" t="str">
        <x:v>Hoxton Ventures</x:v>
      </x:c>
      <x:c r="D189" s="39" t="str">
        <x:v>Midge Mazzier</x:v>
      </x:c>
      <x:c r="E189" s="39" t="str">
        <x:v>Associate Partner</x:v>
      </x:c>
      <x:c r="F189" s="39" t="str">
        <x:v>Sim</x:v>
      </x:c>
      <x:c r="G189" s="39" t="str">
        <x:v>Decisor</x:v>
      </x:c>
      <x:c r="H189" s="39" t="str">
        <x:v>Londres</x:v>
      </x:c>
      <x:c r="I189" s="39" t="str">
        <x:v>Early-stage tech</x:v>
      </x:c>
      <x:c r="J189" s="39" t="str">
        <x:v>Pre-seed; Seed</x:v>
      </x:c>
      <x:c r="K189" s="39" t="str"/>
      <x:c r="L189" s="39" t="str"/>
      <x:c r="M189" s="39" t="str"/>
      <x:c r="N189" s="39" t="str"/>
      <x:c r="O189" s="39" t="str">
        <x:v>https://hoxtonventures.com/team/</x:v>
      </x:c>
      <x:c r="P189" s="39" t="str">
        <x:v>Mostrar uma ambição global desproporcional ao ponto de partida europeu.</x:v>
      </x:c>
      <x:c r="Q189" s="39" t="str">
        <x:v>Hoxton apresenta-se como partner-only e formada por builders.</x:v>
      </x:c>
      <x:c r="R189" s="39" t="str">
        <x:v>https://hoxtonventures.com/team/</x:v>
      </x:c>
      <x:c r="S189" s="44" t="str">
        <x:v>2026-09-09</x:v>
      </x:c>
      <x:c r="T189" s="39" t="str">
        <x:v>Alta</x:v>
      </x:c>
      <x:c r="U189" s="39" t="str">
        <x:v>Base</x:v>
      </x:c>
      <x:c r="V189" s="39" t="str"/>
    </x:row>
    <x:row r="190" ht="40" customHeight="1">
      <x:c r="A190" s="39" t="str">
        <x:v>PER0189</x:v>
      </x:c>
      <x:c r="B190" s="39" t="str">
        <x:v>INV023</x:v>
      </x:c>
      <x:c r="C190" s="39" t="str">
        <x:v>Hoxton Ventures</x:v>
      </x:c>
      <x:c r="D190" s="39" t="str">
        <x:v>Rishabh Kaul</x:v>
      </x:c>
      <x:c r="E190" s="39" t="str">
        <x:v>Venture Partner</x:v>
      </x:c>
      <x:c r="F190" s="39" t="str">
        <x:v>Rever</x:v>
      </x:c>
      <x:c r="G190" s="39" t="str">
        <x:v>Influenciador</x:v>
      </x:c>
      <x:c r="H190" s="39" t="str">
        <x:v>Londres</x:v>
      </x:c>
      <x:c r="I190" s="39" t="str">
        <x:v>Technology</x:v>
      </x:c>
      <x:c r="J190" s="39" t="str">
        <x:v>Pre-seed; Seed</x:v>
      </x:c>
      <x:c r="K190" s="39" t="str"/>
      <x:c r="L190" s="39" t="str"/>
      <x:c r="M190" s="39" t="str"/>
      <x:c r="N190" s="39" t="str"/>
      <x:c r="O190" s="39" t="str">
        <x:v>https://hoxtonventures.com/team/</x:v>
      </x:c>
      <x:c r="P190" s="39" t="str">
        <x:v>Mostrar uma ambição global desproporcional ao ponto de partida europeu.</x:v>
      </x:c>
      <x:c r="Q190" s="39" t="str">
        <x:v>Hoxton apresenta-se como partner-only e formada por builders.</x:v>
      </x:c>
      <x:c r="R190" s="39" t="str">
        <x:v>https://hoxtonventures.com/team/</x:v>
      </x:c>
      <x:c r="S190" s="44" t="str">
        <x:v>2026-09-09</x:v>
      </x:c>
      <x:c r="T190" s="39" t="str">
        <x:v>Alta</x:v>
      </x:c>
      <x:c r="U190" s="39" t="str">
        <x:v>Base</x:v>
      </x:c>
      <x:c r="V190" s="39" t="str"/>
    </x:row>
    <x:row r="191" ht="40" customHeight="1">
      <x:c r="A191" s="39" t="str">
        <x:v>PER0190</x:v>
      </x:c>
      <x:c r="B191" s="39" t="str">
        <x:v>INV024</x:v>
      </x:c>
      <x:c r="C191" s="39" t="str">
        <x:v>Kindred Capital</x:v>
      </x:c>
      <x:c r="D191" s="39" t="str">
        <x:v>Leila Zegna</x:v>
      </x:c>
      <x:c r="E191" s="39" t="str">
        <x:v>General Partner</x:v>
      </x:c>
      <x:c r="F191" s="39" t="str">
        <x:v>Sim</x:v>
      </x:c>
      <x:c r="G191" s="39" t="str">
        <x:v>Decisor</x:v>
      </x:c>
      <x:c r="H191" s="39" t="str">
        <x:v>Londres</x:v>
      </x:c>
      <x:c r="I191" s="39" t="str">
        <x:v>Early-stage technology</x:v>
      </x:c>
      <x:c r="J191" s="39" t="str">
        <x:v>Pre-seed; Seed</x:v>
      </x:c>
      <x:c r="K191" s="39" t="str"/>
      <x:c r="L191" s="39" t="str"/>
      <x:c r="M191" s="39" t="str"/>
      <x:c r="N191" s="39" t="str"/>
      <x:c r="O191" s="39" t="str">
        <x:v>https://kindredcapital.vc/</x:v>
      </x:c>
      <x:c r="P191" s="39" t="str">
        <x:v>Destacar missão, alinhamento de longo prazo e por que a pessoa certa precisa de agir agora.</x:v>
      </x:c>
      <x:c r="Q191" s="39" t="str">
        <x:v>A tese pública põe pessoas, missão e alinhamento no centro.</x:v>
      </x:c>
      <x:c r="R191" s="39" t="str">
        <x:v>https://kindredcapital.vc/</x:v>
      </x:c>
      <x:c r="S191" s="44" t="str">
        <x:v>2026-09-09</x:v>
      </x:c>
      <x:c r="T191" s="39" t="str">
        <x:v>Alta</x:v>
      </x:c>
      <x:c r="U191" s="39" t="str">
        <x:v>Base</x:v>
      </x:c>
      <x:c r="V191" s="39" t="str"/>
    </x:row>
    <x:row r="192" ht="40" customHeight="1">
      <x:c r="A192" s="39" t="str">
        <x:v>PER0191</x:v>
      </x:c>
      <x:c r="B192" s="39" t="str">
        <x:v>INV024</x:v>
      </x:c>
      <x:c r="C192" s="39" t="str">
        <x:v>Kindred Capital</x:v>
      </x:c>
      <x:c r="D192" s="39" t="str">
        <x:v>Chrys Chrysanthou</x:v>
      </x:c>
      <x:c r="E192" s="39" t="str">
        <x:v>General Partner</x:v>
      </x:c>
      <x:c r="F192" s="39" t="str">
        <x:v>Sim</x:v>
      </x:c>
      <x:c r="G192" s="39" t="str">
        <x:v>Decisor</x:v>
      </x:c>
      <x:c r="H192" s="39" t="str">
        <x:v>Londres</x:v>
      </x:c>
      <x:c r="I192" s="39" t="str">
        <x:v>Deeptech; software</x:v>
      </x:c>
      <x:c r="J192" s="39" t="str">
        <x:v>Pre-seed; Seed</x:v>
      </x:c>
      <x:c r="K192" s="39" t="str"/>
      <x:c r="L192" s="39" t="str"/>
      <x:c r="M192" s="39" t="str"/>
      <x:c r="N192" s="39" t="str"/>
      <x:c r="O192" s="39" t="str">
        <x:v>https://kindredcapital.vc/</x:v>
      </x:c>
      <x:c r="P192" s="39" t="str">
        <x:v>Destacar missão, alinhamento de longo prazo e por que a pessoa certa precisa de agir agora.</x:v>
      </x:c>
      <x:c r="Q192" s="39" t="str">
        <x:v>A tese pública põe pessoas, missão e alinhamento no centro.</x:v>
      </x:c>
      <x:c r="R192" s="39" t="str">
        <x:v>https://kindredcapital.vc/</x:v>
      </x:c>
      <x:c r="S192" s="44" t="str">
        <x:v>2026-09-09</x:v>
      </x:c>
      <x:c r="T192" s="39" t="str">
        <x:v>Alta</x:v>
      </x:c>
      <x:c r="U192" s="39" t="str">
        <x:v>Base</x:v>
      </x:c>
      <x:c r="V192" s="39" t="str"/>
    </x:row>
    <x:row r="193" ht="40" customHeight="1">
      <x:c r="A193" s="39" t="str">
        <x:v>PER0192</x:v>
      </x:c>
      <x:c r="B193" s="39" t="str">
        <x:v>INV024</x:v>
      </x:c>
      <x:c r="C193" s="39" t="str">
        <x:v>Kindred Capital</x:v>
      </x:c>
      <x:c r="D193" s="39" t="str">
        <x:v>John Cassidy</x:v>
      </x:c>
      <x:c r="E193" s="39" t="str">
        <x:v>General Partner</x:v>
      </x:c>
      <x:c r="F193" s="39" t="str">
        <x:v>Sim</x:v>
      </x:c>
      <x:c r="G193" s="39" t="str">
        <x:v>Decisor</x:v>
      </x:c>
      <x:c r="H193" s="39" t="str">
        <x:v>Londres</x:v>
      </x:c>
      <x:c r="I193" s="39" t="str">
        <x:v>Fintech; software</x:v>
      </x:c>
      <x:c r="J193" s="39" t="str">
        <x:v>Pre-seed; Seed</x:v>
      </x:c>
      <x:c r="K193" s="39" t="str"/>
      <x:c r="L193" s="39" t="str"/>
      <x:c r="M193" s="39" t="str"/>
      <x:c r="N193" s="39" t="str"/>
      <x:c r="O193" s="39" t="str">
        <x:v>https://kindredcapital.vc/</x:v>
      </x:c>
      <x:c r="P193" s="39" t="str">
        <x:v>Destacar missão, alinhamento de longo prazo e por que a pessoa certa precisa de agir agora.</x:v>
      </x:c>
      <x:c r="Q193" s="39" t="str">
        <x:v>A tese pública põe pessoas, missão e alinhamento no centro.</x:v>
      </x:c>
      <x:c r="R193" s="39" t="str">
        <x:v>https://kindredcapital.vc/</x:v>
      </x:c>
      <x:c r="S193" s="44" t="str">
        <x:v>2026-09-09</x:v>
      </x:c>
      <x:c r="T193" s="39" t="str">
        <x:v>Alta</x:v>
      </x:c>
      <x:c r="U193" s="39" t="str">
        <x:v>Base</x:v>
      </x:c>
      <x:c r="V193" s="39" t="str"/>
    </x:row>
    <x:row r="194" ht="40" customHeight="1">
      <x:c r="A194" s="39" t="str">
        <x:v>PER0193</x:v>
      </x:c>
      <x:c r="B194" s="39" t="str">
        <x:v>INV024</x:v>
      </x:c>
      <x:c r="C194" s="39" t="str">
        <x:v>Kindred Capital</x:v>
      </x:c>
      <x:c r="D194" s="39" t="str">
        <x:v>Mark Evans</x:v>
      </x:c>
      <x:c r="E194" s="39" t="str">
        <x:v>General Partner</x:v>
      </x:c>
      <x:c r="F194" s="39" t="str">
        <x:v>Sim</x:v>
      </x:c>
      <x:c r="G194" s="39" t="str">
        <x:v>Decisor</x:v>
      </x:c>
      <x:c r="H194" s="39" t="str">
        <x:v>Londres</x:v>
      </x:c>
      <x:c r="I194" s="39" t="str">
        <x:v>Consumer; enterprise</x:v>
      </x:c>
      <x:c r="J194" s="39" t="str">
        <x:v>Pre-seed; Seed</x:v>
      </x:c>
      <x:c r="K194" s="39" t="str"/>
      <x:c r="L194" s="39" t="str"/>
      <x:c r="M194" s="39" t="str"/>
      <x:c r="N194" s="39" t="str"/>
      <x:c r="O194" s="39" t="str">
        <x:v>https://kindredcapital.vc/</x:v>
      </x:c>
      <x:c r="P194" s="39" t="str">
        <x:v>Destacar missão, alinhamento de longo prazo e por que a pessoa certa precisa de agir agora.</x:v>
      </x:c>
      <x:c r="Q194" s="39" t="str">
        <x:v>A tese pública põe pessoas, missão e alinhamento no centro.</x:v>
      </x:c>
      <x:c r="R194" s="39" t="str">
        <x:v>https://kindredcapital.vc/</x:v>
      </x:c>
      <x:c r="S194" s="44" t="str">
        <x:v>2026-09-09</x:v>
      </x:c>
      <x:c r="T194" s="39" t="str">
        <x:v>Alta</x:v>
      </x:c>
      <x:c r="U194" s="39" t="str">
        <x:v>Base</x:v>
      </x:c>
      <x:c r="V194" s="39" t="str"/>
    </x:row>
    <x:row r="195" ht="40" customHeight="1">
      <x:c r="A195" s="39" t="str">
        <x:v>PER0194</x:v>
      </x:c>
      <x:c r="B195" s="39" t="str">
        <x:v>INV024</x:v>
      </x:c>
      <x:c r="C195" s="39" t="str">
        <x:v>Kindred Capital</x:v>
      </x:c>
      <x:c r="D195" s="39" t="str">
        <x:v>Russell Buckley</x:v>
      </x:c>
      <x:c r="E195" s="39" t="str">
        <x:v>Partner Emeritus</x:v>
      </x:c>
      <x:c r="F195" s="39" t="str">
        <x:v>Não</x:v>
      </x:c>
      <x:c r="G195" s="39" t="str">
        <x:v>Advisor</x:v>
      </x:c>
      <x:c r="H195" s="39" t="str">
        <x:v>Londres</x:v>
      </x:c>
      <x:c r="I195" s="39" t="str">
        <x:v>Mobile; consumer</x:v>
      </x:c>
      <x:c r="J195" s="39" t="str">
        <x:v>Pre-seed; Seed</x:v>
      </x:c>
      <x:c r="K195" s="39" t="str"/>
      <x:c r="L195" s="39" t="str"/>
      <x:c r="M195" s="39" t="str"/>
      <x:c r="N195" s="39" t="str"/>
      <x:c r="O195" s="39" t="str">
        <x:v>https://kindredcapital.vc/</x:v>
      </x:c>
      <x:c r="P195" s="39" t="str">
        <x:v>Destacar missão, alinhamento de longo prazo e por que a pessoa certa precisa de agir agora.</x:v>
      </x:c>
      <x:c r="Q195" s="39" t="str">
        <x:v>A tese pública põe pessoas, missão e alinhamento no centro.</x:v>
      </x:c>
      <x:c r="R195" s="39" t="str">
        <x:v>https://kindredcapital.vc/</x:v>
      </x:c>
      <x:c r="S195" s="44" t="str">
        <x:v>2026-09-09</x:v>
      </x:c>
      <x:c r="T195" s="39" t="str">
        <x:v>Alta</x:v>
      </x:c>
      <x:c r="U195" s="39" t="str">
        <x:v>Base</x:v>
      </x:c>
      <x:c r="V195" s="39" t="str"/>
    </x:row>
    <x:row r="196" ht="40" customHeight="1">
      <x:c r="A196" s="39" t="str">
        <x:v>PER0195</x:v>
      </x:c>
      <x:c r="B196" s="39" t="str">
        <x:v>INV024</x:v>
      </x:c>
      <x:c r="C196" s="39" t="str">
        <x:v>Kindred Capital</x:v>
      </x:c>
      <x:c r="D196" s="39" t="str">
        <x:v>Max Bray</x:v>
      </x:c>
      <x:c r="E196" s="39" t="str">
        <x:v>Venture Partner</x:v>
      </x:c>
      <x:c r="F196" s="39" t="str">
        <x:v>Rever</x:v>
      </x:c>
      <x:c r="G196" s="39" t="str">
        <x:v>Influenciador</x:v>
      </x:c>
      <x:c r="H196" s="39" t="str">
        <x:v>Londres</x:v>
      </x:c>
      <x:c r="I196" s="39" t="str">
        <x:v>Early-stage technology</x:v>
      </x:c>
      <x:c r="J196" s="39" t="str">
        <x:v>Pre-seed; Seed</x:v>
      </x:c>
      <x:c r="K196" s="39" t="str"/>
      <x:c r="L196" s="39" t="str"/>
      <x:c r="M196" s="39" t="str"/>
      <x:c r="N196" s="39" t="str"/>
      <x:c r="O196" s="39" t="str">
        <x:v>https://kindredcapital.vc/</x:v>
      </x:c>
      <x:c r="P196" s="39" t="str">
        <x:v>Destacar missão, alinhamento de longo prazo e por que a pessoa certa precisa de agir agora.</x:v>
      </x:c>
      <x:c r="Q196" s="39" t="str">
        <x:v>A tese pública põe pessoas, missão e alinhamento no centro.</x:v>
      </x:c>
      <x:c r="R196" s="39" t="str">
        <x:v>https://kindredcapital.vc/</x:v>
      </x:c>
      <x:c r="S196" s="44" t="str">
        <x:v>2026-09-09</x:v>
      </x:c>
      <x:c r="T196" s="39" t="str">
        <x:v>Alta</x:v>
      </x:c>
      <x:c r="U196" s="39" t="str">
        <x:v>Base</x:v>
      </x:c>
      <x:c r="V196" s="39" t="str"/>
    </x:row>
    <x:row r="197" ht="40" customHeight="1">
      <x:c r="A197" s="39" t="str">
        <x:v>PER0196</x:v>
      </x:c>
      <x:c r="B197" s="39" t="str">
        <x:v>INV024</x:v>
      </x:c>
      <x:c r="C197" s="39" t="str">
        <x:v>Kindred Capital</x:v>
      </x:c>
      <x:c r="D197" s="39" t="str">
        <x:v>Irina Haivas</x:v>
      </x:c>
      <x:c r="E197" s="39" t="str">
        <x:v>Venture Partner</x:v>
      </x:c>
      <x:c r="F197" s="39" t="str">
        <x:v>Rever</x:v>
      </x:c>
      <x:c r="G197" s="39" t="str">
        <x:v>Influenciador</x:v>
      </x:c>
      <x:c r="H197" s="39" t="str">
        <x:v>Londres</x:v>
      </x:c>
      <x:c r="I197" s="39" t="str">
        <x:v>Health; biotech</x:v>
      </x:c>
      <x:c r="J197" s="39" t="str">
        <x:v>Pre-seed; Seed</x:v>
      </x:c>
      <x:c r="K197" s="39" t="str"/>
      <x:c r="L197" s="39" t="str"/>
      <x:c r="M197" s="39" t="str"/>
      <x:c r="N197" s="39" t="str"/>
      <x:c r="O197" s="39" t="str">
        <x:v>https://kindredcapital.vc/</x:v>
      </x:c>
      <x:c r="P197" s="39" t="str">
        <x:v>Destacar missão, alinhamento de longo prazo e por que a pessoa certa precisa de agir agora.</x:v>
      </x:c>
      <x:c r="Q197" s="39" t="str">
        <x:v>A tese pública põe pessoas, missão e alinhamento no centro.</x:v>
      </x:c>
      <x:c r="R197" s="39" t="str">
        <x:v>https://kindredcapital.vc/</x:v>
      </x:c>
      <x:c r="S197" s="44" t="str">
        <x:v>2026-09-09</x:v>
      </x:c>
      <x:c r="T197" s="39" t="str">
        <x:v>Alta</x:v>
      </x:c>
      <x:c r="U197" s="39" t="str">
        <x:v>Base</x:v>
      </x:c>
      <x:c r="V197" s="39" t="str"/>
    </x:row>
    <x:row r="198" ht="40" customHeight="1">
      <x:c r="A198" s="39" t="str">
        <x:v>PER0197</x:v>
      </x:c>
      <x:c r="B198" s="39" t="str">
        <x:v>INV024</x:v>
      </x:c>
      <x:c r="C198" s="39" t="str">
        <x:v>Kindred Capital</x:v>
      </x:c>
      <x:c r="D198" s="39" t="str">
        <x:v>Juliet Bailin</x:v>
      </x:c>
      <x:c r="E198" s="39" t="str">
        <x:v>Venture Partner</x:v>
      </x:c>
      <x:c r="F198" s="39" t="str">
        <x:v>Rever</x:v>
      </x:c>
      <x:c r="G198" s="39" t="str">
        <x:v>Influenciador</x:v>
      </x:c>
      <x:c r="H198" s="39" t="str">
        <x:v>Londres</x:v>
      </x:c>
      <x:c r="I198" s="39" t="str">
        <x:v>Technology</x:v>
      </x:c>
      <x:c r="J198" s="39" t="str">
        <x:v>Pre-seed; Seed</x:v>
      </x:c>
      <x:c r="K198" s="39" t="str"/>
      <x:c r="L198" s="39" t="str"/>
      <x:c r="M198" s="39" t="str"/>
      <x:c r="N198" s="39" t="str"/>
      <x:c r="O198" s="39" t="str">
        <x:v>https://kindredcapital.vc/</x:v>
      </x:c>
      <x:c r="P198" s="39" t="str">
        <x:v>Destacar missão, alinhamento de longo prazo e por que a pessoa certa precisa de agir agora.</x:v>
      </x:c>
      <x:c r="Q198" s="39" t="str">
        <x:v>A tese pública põe pessoas, missão e alinhamento no centro.</x:v>
      </x:c>
      <x:c r="R198" s="39" t="str">
        <x:v>https://kindredcapital.vc/</x:v>
      </x:c>
      <x:c r="S198" s="44" t="str">
        <x:v>2026-09-09</x:v>
      </x:c>
      <x:c r="T198" s="39" t="str">
        <x:v>Alta</x:v>
      </x:c>
      <x:c r="U198" s="39" t="str">
        <x:v>Base</x:v>
      </x:c>
      <x:c r="V198" s="39" t="str"/>
    </x:row>
    <x:row r="199" ht="40" customHeight="1">
      <x:c r="A199" s="39" t="str">
        <x:v>PER0198</x:v>
      </x:c>
      <x:c r="B199" s="39" t="str">
        <x:v>INV025</x:v>
      </x:c>
      <x:c r="C199" s="39" t="str">
        <x:v>Connect Ventures</x:v>
      </x:c>
      <x:c r="D199" s="39" t="str">
        <x:v>Pietro Bezza</x:v>
      </x:c>
      <x:c r="E199" s="39" t="str">
        <x:v>Managing Partner</x:v>
      </x:c>
      <x:c r="F199" s="39" t="str">
        <x:v>Sim</x:v>
      </x:c>
      <x:c r="G199" s="39" t="str">
        <x:v>Decisor</x:v>
      </x:c>
      <x:c r="H199" s="39" t="str">
        <x:v>Londres</x:v>
      </x:c>
      <x:c r="I199" s="39" t="str">
        <x:v>Product; fintech; enterprise</x:v>
      </x:c>
      <x:c r="J199" s="39" t="str">
        <x:v>Pre-seed; Seed</x:v>
      </x:c>
      <x:c r="K199" s="39" t="str"/>
      <x:c r="L199" s="39" t="str"/>
      <x:c r="M199" s="39" t="str"/>
      <x:c r="N199" s="39" t="str"/>
      <x:c r="O199" s="39" t="str">
        <x:v>https://www.connectventures.co/</x:v>
      </x:c>
      <x:c r="P199" s="39" t="str">
        <x:v>Apresentar o founder-product fit, a opinião forte incorporada no produto e uma prova de amor do utilizador.</x:v>
      </x:c>
      <x:c r="Q199" s="39" t="str">
        <x:v>A tese e o processo de decisão são publicados em detalhe.</x:v>
      </x:c>
      <x:c r="R199" s="39" t="str">
        <x:v>https://www.connectventures.co/</x:v>
      </x:c>
      <x:c r="S199" s="44" t="str">
        <x:v>2026-09-09</x:v>
      </x:c>
      <x:c r="T199" s="39" t="str">
        <x:v>Alta</x:v>
      </x:c>
      <x:c r="U199" s="39" t="str">
        <x:v>Enriquecido</x:v>
      </x:c>
      <x:c r="V199" s="39" t="str"/>
    </x:row>
    <x:row r="200" ht="40" customHeight="1">
      <x:c r="A200" s="39" t="str">
        <x:v>PER0199</x:v>
      </x:c>
      <x:c r="B200" s="39" t="str">
        <x:v>INV025</x:v>
      </x:c>
      <x:c r="C200" s="39" t="str">
        <x:v>Connect Ventures</x:v>
      </x:c>
      <x:c r="D200" s="39" t="str">
        <x:v>Sitar Teli</x:v>
      </x:c>
      <x:c r="E200" s="39" t="str">
        <x:v>Managing Partner</x:v>
      </x:c>
      <x:c r="F200" s="39" t="str">
        <x:v>Sim</x:v>
      </x:c>
      <x:c r="G200" s="39" t="str">
        <x:v>Decisor</x:v>
      </x:c>
      <x:c r="H200" s="39" t="str">
        <x:v>Londres</x:v>
      </x:c>
      <x:c r="I200" s="39" t="str">
        <x:v>Product; consumer; enterprise</x:v>
      </x:c>
      <x:c r="J200" s="39" t="str">
        <x:v>Pre-seed; Seed</x:v>
      </x:c>
      <x:c r="K200" s="39" t="str"/>
      <x:c r="L200" s="39" t="str"/>
      <x:c r="M200" s="39" t="str"/>
      <x:c r="N200" s="39" t="str"/>
      <x:c r="O200" s="39" t="str">
        <x:v>https://www.connectventures.co/</x:v>
      </x:c>
      <x:c r="P200" s="39" t="str">
        <x:v>Apresentar o founder-product fit, a opinião forte incorporada no produto e uma prova de amor do utilizador.</x:v>
      </x:c>
      <x:c r="Q200" s="39" t="str">
        <x:v>A tese e o processo de decisão são publicados em detalhe.</x:v>
      </x:c>
      <x:c r="R200" s="39" t="str">
        <x:v>https://www.connectventures.co/</x:v>
      </x:c>
      <x:c r="S200" s="44" t="str">
        <x:v>2026-09-09</x:v>
      </x:c>
      <x:c r="T200" s="39" t="str">
        <x:v>Alta</x:v>
      </x:c>
      <x:c r="U200" s="39" t="str">
        <x:v>Enriquecido</x:v>
      </x:c>
      <x:c r="V200" s="39" t="str"/>
    </x:row>
    <x:row r="201" ht="40" customHeight="1">
      <x:c r="A201" s="39" t="str">
        <x:v>PER0200</x:v>
      </x:c>
      <x:c r="B201" s="39" t="str">
        <x:v>INV025</x:v>
      </x:c>
      <x:c r="C201" s="39" t="str">
        <x:v>Connect Ventures</x:v>
      </x:c>
      <x:c r="D201" s="39" t="str">
        <x:v>Rory Stirling</x:v>
      </x:c>
      <x:c r="E201" s="39" t="str">
        <x:v>General Partner</x:v>
      </x:c>
      <x:c r="F201" s="39" t="str">
        <x:v>Sim</x:v>
      </x:c>
      <x:c r="G201" s="39" t="str">
        <x:v>Decisor</x:v>
      </x:c>
      <x:c r="H201" s="39" t="str">
        <x:v>Londres</x:v>
      </x:c>
      <x:c r="I201" s="39" t="str">
        <x:v>Product; AI; logistics; fintech</x:v>
      </x:c>
      <x:c r="J201" s="39" t="str">
        <x:v>Pre-seed; Seed</x:v>
      </x:c>
      <x:c r="K201" s="39" t="str"/>
      <x:c r="L201" s="39" t="str"/>
      <x:c r="M201" s="39" t="str"/>
      <x:c r="N201" s="39" t="str"/>
      <x:c r="O201" s="39" t="str">
        <x:v>https://www.connectventures.co/</x:v>
      </x:c>
      <x:c r="P201" s="39" t="str">
        <x:v>Apresentar o founder-product fit, a opinião forte incorporada no produto e uma prova de amor do utilizador.</x:v>
      </x:c>
      <x:c r="Q201" s="39" t="str">
        <x:v>A tese e o processo de decisão são publicados em detalhe.</x:v>
      </x:c>
      <x:c r="R201" s="39" t="str">
        <x:v>https://www.connectventures.co/</x:v>
      </x:c>
      <x:c r="S201" s="44" t="str">
        <x:v>2026-09-09</x:v>
      </x:c>
      <x:c r="T201" s="39" t="str">
        <x:v>Alta</x:v>
      </x:c>
      <x:c r="U201" s="39" t="str">
        <x:v>Enriquecido</x:v>
      </x:c>
      <x:c r="V201" s="39" t="str"/>
    </x:row>
    <x:row r="202" ht="40" customHeight="1">
      <x:c r="A202" s="39" t="str">
        <x:v>PER0201</x:v>
      </x:c>
      <x:c r="B202" s="39" t="str">
        <x:v>INV026</x:v>
      </x:c>
      <x:c r="C202" s="39" t="str">
        <x:v>Heartcore Capital</x:v>
      </x:c>
      <x:c r="D202" s="39" t="str">
        <x:v>Jimmy Fussing Nielsen</x:v>
      </x:c>
      <x:c r="E202" s="39" t="str">
        <x:v>Partner &amp; CEO</x:v>
      </x:c>
      <x:c r="F202" s="39" t="str">
        <x:v>Sim</x:v>
      </x:c>
      <x:c r="G202" s="39" t="str">
        <x:v>Decisor</x:v>
      </x:c>
      <x:c r="H202" s="39" t="str">
        <x:v>Copenhaga</x:v>
      </x:c>
      <x:c r="I202" s="39" t="str">
        <x:v>Early-stage tech</x:v>
      </x:c>
      <x:c r="J202" s="39" t="str">
        <x:v>Inception to Series A</x:v>
      </x:c>
      <x:c r="K202" s="39" t="str"/>
      <x:c r="L202" s="39" t="str"/>
      <x:c r="M202" s="39" t="str"/>
      <x:c r="N202" s="39" t="str"/>
      <x:c r="O202" s="39" t="str">
        <x:v>https://www.heartcore.com/team</x:v>
      </x:c>
      <x:c r="P202" s="39" t="str">
        <x:v>Explicar a aspiração humana que a tecnologia serve e por que a equipa tem coragem para perseguir um resultado fora da curva.</x:v>
      </x:c>
      <x:c r="Q202" s="39" t="str">
        <x:v>Tese pública: genius and courage, desde inception.</x:v>
      </x:c>
      <x:c r="R202" s="39" t="str">
        <x:v>https://www.heartcore.com/about</x:v>
      </x:c>
      <x:c r="S202" s="44" t="str">
        <x:v>2026-09-09</x:v>
      </x:c>
      <x:c r="T202" s="39" t="str">
        <x:v>Alta</x:v>
      </x:c>
      <x:c r="U202" s="39" t="str">
        <x:v>Base</x:v>
      </x:c>
      <x:c r="V202" s="39" t="str"/>
    </x:row>
    <x:row r="203" ht="40" customHeight="1">
      <x:c r="A203" s="39" t="str">
        <x:v>PER0202</x:v>
      </x:c>
      <x:c r="B203" s="39" t="str">
        <x:v>INV026</x:v>
      </x:c>
      <x:c r="C203" s="39" t="str">
        <x:v>Heartcore Capital</x:v>
      </x:c>
      <x:c r="D203" s="39" t="str">
        <x:v>Christian Lindegaard Jepsen</x:v>
      </x:c>
      <x:c r="E203" s="39" t="str">
        <x:v>Partner</x:v>
      </x:c>
      <x:c r="F203" s="39" t="str">
        <x:v>Sim</x:v>
      </x:c>
      <x:c r="G203" s="39" t="str">
        <x:v>Decisor</x:v>
      </x:c>
      <x:c r="H203" s="39" t="str">
        <x:v>Copenhaga</x:v>
      </x:c>
      <x:c r="I203" s="39" t="str">
        <x:v>Consumer; software</x:v>
      </x:c>
      <x:c r="J203" s="39" t="str">
        <x:v>Inception to Series A</x:v>
      </x:c>
      <x:c r="K203" s="39" t="str"/>
      <x:c r="L203" s="39" t="str"/>
      <x:c r="M203" s="39" t="str"/>
      <x:c r="N203" s="39" t="str"/>
      <x:c r="O203" s="39" t="str">
        <x:v>https://www.heartcore.com/team</x:v>
      </x:c>
      <x:c r="P203" s="39" t="str">
        <x:v>Explicar a aspiração humana que a tecnologia serve e por que a equipa tem coragem para perseguir um resultado fora da curva.</x:v>
      </x:c>
      <x:c r="Q203" s="39" t="str">
        <x:v>Tese pública: genius and courage, desde inception.</x:v>
      </x:c>
      <x:c r="R203" s="39" t="str">
        <x:v>https://www.heartcore.com/about</x:v>
      </x:c>
      <x:c r="S203" s="44" t="str">
        <x:v>2026-09-09</x:v>
      </x:c>
      <x:c r="T203" s="39" t="str">
        <x:v>Alta</x:v>
      </x:c>
      <x:c r="U203" s="39" t="str">
        <x:v>Base</x:v>
      </x:c>
      <x:c r="V203" s="39" t="str"/>
    </x:row>
    <x:row r="204" ht="40" customHeight="1">
      <x:c r="A204" s="39" t="str">
        <x:v>PER0203</x:v>
      </x:c>
      <x:c r="B204" s="39" t="str">
        <x:v>INV026</x:v>
      </x:c>
      <x:c r="C204" s="39" t="str">
        <x:v>Heartcore Capital</x:v>
      </x:c>
      <x:c r="D204" s="39" t="str">
        <x:v>Max Niederhofer</x:v>
      </x:c>
      <x:c r="E204" s="39" t="str">
        <x:v>Partner</x:v>
      </x:c>
      <x:c r="F204" s="39" t="str">
        <x:v>Sim</x:v>
      </x:c>
      <x:c r="G204" s="39" t="str">
        <x:v>Decisor</x:v>
      </x:c>
      <x:c r="H204" s="39" t="str">
        <x:v>Londres</x:v>
      </x:c>
      <x:c r="I204" s="39" t="str">
        <x:v>Climate; software; consumer</x:v>
      </x:c>
      <x:c r="J204" s="39" t="str">
        <x:v>Inception to Series A</x:v>
      </x:c>
      <x:c r="K204" s="39" t="str"/>
      <x:c r="L204" s="39" t="str"/>
      <x:c r="M204" s="39" t="str"/>
      <x:c r="N204" s="39" t="str"/>
      <x:c r="O204" s="39" t="str">
        <x:v>https://www.heartcore.com/team</x:v>
      </x:c>
      <x:c r="P204" s="39" t="str">
        <x:v>Explicar a aspiração humana que a tecnologia serve e por que a equipa tem coragem para perseguir um resultado fora da curva.</x:v>
      </x:c>
      <x:c r="Q204" s="39" t="str">
        <x:v>Tese pública: genius and courage, desde inception.</x:v>
      </x:c>
      <x:c r="R204" s="39" t="str">
        <x:v>https://www.heartcore.com/about</x:v>
      </x:c>
      <x:c r="S204" s="44" t="str">
        <x:v>2026-09-09</x:v>
      </x:c>
      <x:c r="T204" s="39" t="str">
        <x:v>Alta</x:v>
      </x:c>
      <x:c r="U204" s="39" t="str">
        <x:v>Base</x:v>
      </x:c>
      <x:c r="V204" s="39" t="str"/>
    </x:row>
    <x:row r="205" ht="40" customHeight="1">
      <x:c r="A205" s="39" t="str">
        <x:v>PER0204</x:v>
      </x:c>
      <x:c r="B205" s="39" t="str">
        <x:v>INV026</x:v>
      </x:c>
      <x:c r="C205" s="39" t="str">
        <x:v>Heartcore Capital</x:v>
      </x:c>
      <x:c r="D205" s="39" t="str">
        <x:v>Yacine Ghalim</x:v>
      </x:c>
      <x:c r="E205" s="39" t="str">
        <x:v>Partner</x:v>
      </x:c>
      <x:c r="F205" s="39" t="str">
        <x:v>Sim</x:v>
      </x:c>
      <x:c r="G205" s="39" t="str">
        <x:v>Decisor</x:v>
      </x:c>
      <x:c r="H205" s="39" t="str">
        <x:v>Paris</x:v>
      </x:c>
      <x:c r="I205" s="39" t="str">
        <x:v>Fintech; consumer</x:v>
      </x:c>
      <x:c r="J205" s="39" t="str">
        <x:v>Inception to Series A</x:v>
      </x:c>
      <x:c r="K205" s="39" t="str"/>
      <x:c r="L205" s="39" t="str"/>
      <x:c r="M205" s="39" t="str"/>
      <x:c r="N205" s="39" t="str"/>
      <x:c r="O205" s="39" t="str">
        <x:v>https://www.heartcore.com/team</x:v>
      </x:c>
      <x:c r="P205" s="39" t="str">
        <x:v>Explicar a aspiração humana que a tecnologia serve e por que a equipa tem coragem para perseguir um resultado fora da curva.</x:v>
      </x:c>
      <x:c r="Q205" s="39" t="str">
        <x:v>Tese pública: genius and courage, desde inception.</x:v>
      </x:c>
      <x:c r="R205" s="39" t="str">
        <x:v>https://www.heartcore.com/about</x:v>
      </x:c>
      <x:c r="S205" s="44" t="str">
        <x:v>2026-09-09</x:v>
      </x:c>
      <x:c r="T205" s="39" t="str">
        <x:v>Alta</x:v>
      </x:c>
      <x:c r="U205" s="39" t="str">
        <x:v>Base</x:v>
      </x:c>
      <x:c r="V205" s="39" t="str"/>
    </x:row>
    <x:row r="206" ht="40" customHeight="1">
      <x:c r="A206" s="39" t="str">
        <x:v>PER0205</x:v>
      </x:c>
      <x:c r="B206" s="39" t="str">
        <x:v>INV026</x:v>
      </x:c>
      <x:c r="C206" s="39" t="str">
        <x:v>Heartcore Capital</x:v>
      </x:c>
      <x:c r="D206" s="39" t="str">
        <x:v>Naza Metghalchi</x:v>
      </x:c>
      <x:c r="E206" s="39" t="str">
        <x:v>Partner</x:v>
      </x:c>
      <x:c r="F206" s="39" t="str">
        <x:v>Sim</x:v>
      </x:c>
      <x:c r="G206" s="39" t="str">
        <x:v>Decisor</x:v>
      </x:c>
      <x:c r="H206" s="39" t="str">
        <x:v>Paris</x:v>
      </x:c>
      <x:c r="I206" s="39" t="str">
        <x:v>Deeptech; AI; health</x:v>
      </x:c>
      <x:c r="J206" s="39" t="str">
        <x:v>Inception to Series A</x:v>
      </x:c>
      <x:c r="K206" s="39" t="str"/>
      <x:c r="L206" s="39" t="str"/>
      <x:c r="M206" s="39" t="str"/>
      <x:c r="N206" s="39" t="str"/>
      <x:c r="O206" s="39" t="str">
        <x:v>https://www.heartcore.com/team</x:v>
      </x:c>
      <x:c r="P206" s="39" t="str">
        <x:v>Explicar a aspiração humana que a tecnologia serve e por que a equipa tem coragem para perseguir um resultado fora da curva.</x:v>
      </x:c>
      <x:c r="Q206" s="39" t="str">
        <x:v>Tese pública: genius and courage, desde inception.</x:v>
      </x:c>
      <x:c r="R206" s="39" t="str">
        <x:v>https://www.heartcore.com/about</x:v>
      </x:c>
      <x:c r="S206" s="44" t="str">
        <x:v>2026-09-09</x:v>
      </x:c>
      <x:c r="T206" s="39" t="str">
        <x:v>Alta</x:v>
      </x:c>
      <x:c r="U206" s="39" t="str">
        <x:v>Base</x:v>
      </x:c>
      <x:c r="V206" s="39" t="str"/>
    </x:row>
    <x:row r="207" ht="40" customHeight="1">
      <x:c r="A207" s="39" t="str">
        <x:v>PER0206</x:v>
      </x:c>
      <x:c r="B207" s="39" t="str">
        <x:v>INV026</x:v>
      </x:c>
      <x:c r="C207" s="39" t="str">
        <x:v>Heartcore Capital</x:v>
      </x:c>
      <x:c r="D207" s="39" t="str">
        <x:v>Lærke Rud Hansen</x:v>
      </x:c>
      <x:c r="E207" s="39" t="str">
        <x:v>Investor</x:v>
      </x:c>
      <x:c r="F207" s="39" t="str">
        <x:v>Rever</x:v>
      </x:c>
      <x:c r="G207" s="39" t="str">
        <x:v>Equipa de investimento</x:v>
      </x:c>
      <x:c r="H207" s="39" t="str">
        <x:v>Copenhaga</x:v>
      </x:c>
      <x:c r="I207" s="39" t="str">
        <x:v>Technology</x:v>
      </x:c>
      <x:c r="J207" s="39" t="str">
        <x:v>Inception to Series A</x:v>
      </x:c>
      <x:c r="K207" s="39" t="str"/>
      <x:c r="L207" s="39" t="str"/>
      <x:c r="M207" s="39" t="str"/>
      <x:c r="N207" s="39" t="str"/>
      <x:c r="O207" s="39" t="str">
        <x:v>https://www.heartcore.com/team</x:v>
      </x:c>
      <x:c r="P207" s="39" t="str">
        <x:v>Explicar a aspiração humana que a tecnologia serve e por que a equipa tem coragem para perseguir um resultado fora da curva.</x:v>
      </x:c>
      <x:c r="Q207" s="39" t="str">
        <x:v>Tese pública: genius and courage, desde inception.</x:v>
      </x:c>
      <x:c r="R207" s="39" t="str">
        <x:v>https://www.heartcore.com/about</x:v>
      </x:c>
      <x:c r="S207" s="44" t="str">
        <x:v>2026-09-09</x:v>
      </x:c>
      <x:c r="T207" s="39" t="str">
        <x:v>Alta</x:v>
      </x:c>
      <x:c r="U207" s="39" t="str">
        <x:v>Base</x:v>
      </x:c>
      <x:c r="V207" s="39" t="str"/>
    </x:row>
    <x:row r="208" ht="40" customHeight="1">
      <x:c r="A208" s="39" t="str">
        <x:v>PER0207</x:v>
      </x:c>
      <x:c r="B208" s="39" t="str">
        <x:v>INV026</x:v>
      </x:c>
      <x:c r="C208" s="39" t="str">
        <x:v>Heartcore Capital</x:v>
      </x:c>
      <x:c r="D208" s="39" t="str">
        <x:v>Bérenger Teboul-Danguin</x:v>
      </x:c>
      <x:c r="E208" s="39" t="str">
        <x:v>Investor</x:v>
      </x:c>
      <x:c r="F208" s="39" t="str">
        <x:v>Rever</x:v>
      </x:c>
      <x:c r="G208" s="39" t="str">
        <x:v>Equipa de investimento</x:v>
      </x:c>
      <x:c r="H208" s="39" t="str">
        <x:v>Paris</x:v>
      </x:c>
      <x:c r="I208" s="39" t="str">
        <x:v>Technology</x:v>
      </x:c>
      <x:c r="J208" s="39" t="str">
        <x:v>Inception to Series A</x:v>
      </x:c>
      <x:c r="K208" s="39" t="str"/>
      <x:c r="L208" s="39" t="str"/>
      <x:c r="M208" s="39" t="str"/>
      <x:c r="N208" s="39" t="str"/>
      <x:c r="O208" s="39" t="str">
        <x:v>https://www.heartcore.com/team</x:v>
      </x:c>
      <x:c r="P208" s="39" t="str">
        <x:v>Explicar a aspiração humana que a tecnologia serve e por que a equipa tem coragem para perseguir um resultado fora da curva.</x:v>
      </x:c>
      <x:c r="Q208" s="39" t="str">
        <x:v>Tese pública: genius and courage, desde inception.</x:v>
      </x:c>
      <x:c r="R208" s="39" t="str">
        <x:v>https://www.heartcore.com/about</x:v>
      </x:c>
      <x:c r="S208" s="44" t="str">
        <x:v>2026-09-09</x:v>
      </x:c>
      <x:c r="T208" s="39" t="str">
        <x:v>Alta</x:v>
      </x:c>
      <x:c r="U208" s="39" t="str">
        <x:v>Base</x:v>
      </x:c>
      <x:c r="V208" s="39" t="str"/>
    </x:row>
    <x:row r="209" ht="40" customHeight="1">
      <x:c r="A209" s="39" t="str">
        <x:v>PER0208</x:v>
      </x:c>
      <x:c r="B209" s="39" t="str">
        <x:v>INV026</x:v>
      </x:c>
      <x:c r="C209" s="39" t="str">
        <x:v>Heartcore Capital</x:v>
      </x:c>
      <x:c r="D209" s="39" t="str">
        <x:v>Tomáš Fanta</x:v>
      </x:c>
      <x:c r="E209" s="39" t="str">
        <x:v>Investor</x:v>
      </x:c>
      <x:c r="F209" s="39" t="str">
        <x:v>Rever</x:v>
      </x:c>
      <x:c r="G209" s="39" t="str">
        <x:v>Equipa de investimento</x:v>
      </x:c>
      <x:c r="H209" s="39" t="str"/>
      <x:c r="I209" s="39" t="str">
        <x:v>Technology</x:v>
      </x:c>
      <x:c r="J209" s="39" t="str">
        <x:v>Inception to Series A</x:v>
      </x:c>
      <x:c r="K209" s="39" t="str"/>
      <x:c r="L209" s="39" t="str"/>
      <x:c r="M209" s="39" t="str"/>
      <x:c r="N209" s="39" t="str"/>
      <x:c r="O209" s="39" t="str">
        <x:v>https://www.heartcore.com/team</x:v>
      </x:c>
      <x:c r="P209" s="39" t="str">
        <x:v>Explicar a aspiração humana que a tecnologia serve e por que a equipa tem coragem para perseguir um resultado fora da curva.</x:v>
      </x:c>
      <x:c r="Q209" s="39" t="str">
        <x:v>Tese pública: genius and courage, desde inception.</x:v>
      </x:c>
      <x:c r="R209" s="39" t="str">
        <x:v>https://www.heartcore.com/about</x:v>
      </x:c>
      <x:c r="S209" s="44" t="str">
        <x:v>2026-09-09</x:v>
      </x:c>
      <x:c r="T209" s="39" t="str">
        <x:v>Alta</x:v>
      </x:c>
      <x:c r="U209" s="39" t="str">
        <x:v>Base</x:v>
      </x:c>
      <x:c r="V209" s="39" t="str"/>
    </x:row>
    <x:row r="210" ht="40" customHeight="1">
      <x:c r="A210" s="39" t="str">
        <x:v>PER0209</x:v>
      </x:c>
      <x:c r="B210" s="39" t="str">
        <x:v>INV027</x:v>
      </x:c>
      <x:c r="C210" s="39" t="str">
        <x:v>Partech</x:v>
      </x:c>
      <x:c r="D210" s="39" t="str">
        <x:v>Romain Lavault</x:v>
      </x:c>
      <x:c r="E210" s="39" t="str">
        <x:v>General Partner</x:v>
      </x:c>
      <x:c r="F210" s="39" t="str">
        <x:v>Sim</x:v>
      </x:c>
      <x:c r="G210" s="39" t="str">
        <x:v>Decisor</x:v>
      </x:c>
      <x:c r="H210" s="39" t="str">
        <x:v>Paris</x:v>
      </x:c>
      <x:c r="I210" s="39" t="str">
        <x:v>Seed; AI; chips; autonomous; enterprise; fintech; health</x:v>
      </x:c>
      <x:c r="J210" s="39" t="str">
        <x:v>Day 1; Seed; Series A/B</x:v>
      </x:c>
      <x:c r="K210" s="39" t="str"/>
      <x:c r="L210" s="39" t="str"/>
      <x:c r="M210" s="39" t="str"/>
      <x:c r="N210" s="39" t="str"/>
      <x:c r="O210" s="39" t="str">
        <x:v>https://partechpartners.com/team</x:v>
      </x:c>
      <x:c r="P210" s="39" t="str">
        <x:v>Ser específico sobre a estratégia/fundo, o problema técnico e a razão para agir desde day one.</x:v>
      </x:c>
      <x:c r="Q210" s="39" t="str">
        <x:v>Partech publica critérios por estratégia e perfis detalhados.</x:v>
      </x:c>
      <x:c r="R210" s="39" t="str">
        <x:v>https://partechpartners.com/funds</x:v>
      </x:c>
      <x:c r="S210" s="44" t="str">
        <x:v>2026-09-09</x:v>
      </x:c>
      <x:c r="T210" s="39" t="str">
        <x:v>Alta</x:v>
      </x:c>
      <x:c r="U210" s="39" t="str">
        <x:v>Enriquecido</x:v>
      </x:c>
      <x:c r="V210" s="39" t="str"/>
    </x:row>
    <x:row r="211" ht="40" customHeight="1">
      <x:c r="A211" s="39" t="str">
        <x:v>PER0210</x:v>
      </x:c>
      <x:c r="B211" s="39" t="str">
        <x:v>INV027</x:v>
      </x:c>
      <x:c r="C211" s="39" t="str">
        <x:v>Partech</x:v>
      </x:c>
      <x:c r="D211" s="39" t="str">
        <x:v>Boris Golden</x:v>
      </x:c>
      <x:c r="E211" s="39" t="str">
        <x:v>General Partner</x:v>
      </x:c>
      <x:c r="F211" s="39" t="str">
        <x:v>Sim</x:v>
      </x:c>
      <x:c r="G211" s="39" t="str">
        <x:v>Decisor</x:v>
      </x:c>
      <x:c r="H211" s="39" t="str">
        <x:v>Paris</x:v>
      </x:c>
      <x:c r="I211" s="39" t="str">
        <x:v>Seed; hybrid models; SaaS; marketplaces</x:v>
      </x:c>
      <x:c r="J211" s="39" t="str">
        <x:v>Day 1; Seed; Series A/B</x:v>
      </x:c>
      <x:c r="K211" s="39" t="str"/>
      <x:c r="L211" s="39" t="str"/>
      <x:c r="M211" s="39" t="str"/>
      <x:c r="N211" s="39" t="str"/>
      <x:c r="O211" s="39" t="str">
        <x:v>https://partechpartners.com/team</x:v>
      </x:c>
      <x:c r="P211" s="39" t="str">
        <x:v>Ser específico sobre a estratégia/fundo, o problema técnico e a razão para agir desde day one.</x:v>
      </x:c>
      <x:c r="Q211" s="39" t="str">
        <x:v>Partech publica critérios por estratégia e perfis detalhados.</x:v>
      </x:c>
      <x:c r="R211" s="39" t="str">
        <x:v>https://partechpartners.com/funds</x:v>
      </x:c>
      <x:c r="S211" s="44" t="str">
        <x:v>2026-09-09</x:v>
      </x:c>
      <x:c r="T211" s="39" t="str">
        <x:v>Alta</x:v>
      </x:c>
      <x:c r="U211" s="39" t="str">
        <x:v>Enriquecido</x:v>
      </x:c>
      <x:c r="V211" s="39" t="str"/>
    </x:row>
    <x:row r="212" ht="40" customHeight="1">
      <x:c r="A212" s="39" t="str">
        <x:v>PER0211</x:v>
      </x:c>
      <x:c r="B212" s="39" t="str">
        <x:v>INV027</x:v>
      </x:c>
      <x:c r="C212" s="39" t="str">
        <x:v>Partech</x:v>
      </x:c>
      <x:c r="D212" s="39" t="str">
        <x:v>Réza Malekzadeh</x:v>
      </x:c>
      <x:c r="E212" s="39" t="str">
        <x:v>General Partner</x:v>
      </x:c>
      <x:c r="F212" s="39" t="str">
        <x:v>Sim</x:v>
      </x:c>
      <x:c r="G212" s="39" t="str">
        <x:v>Decisor</x:v>
      </x:c>
      <x:c r="H212" s="39" t="str">
        <x:v>Paris</x:v>
      </x:c>
      <x:c r="I212" s="39" t="str">
        <x:v>Venture; enterprise software</x:v>
      </x:c>
      <x:c r="J212" s="39" t="str">
        <x:v>Day 1; Seed; Series A/B</x:v>
      </x:c>
      <x:c r="K212" s="39" t="str"/>
      <x:c r="L212" s="39" t="str"/>
      <x:c r="M212" s="39" t="str"/>
      <x:c r="N212" s="39" t="str"/>
      <x:c r="O212" s="39" t="str">
        <x:v>https://partechpartners.com/team</x:v>
      </x:c>
      <x:c r="P212" s="39" t="str">
        <x:v>Ser específico sobre a estratégia/fundo, o problema técnico e a razão para agir desde day one.</x:v>
      </x:c>
      <x:c r="Q212" s="39" t="str">
        <x:v>Partech publica critérios por estratégia e perfis detalhados.</x:v>
      </x:c>
      <x:c r="R212" s="39" t="str">
        <x:v>https://partechpartners.com/funds</x:v>
      </x:c>
      <x:c r="S212" s="44" t="str">
        <x:v>2026-09-09</x:v>
      </x:c>
      <x:c r="T212" s="39" t="str">
        <x:v>Alta</x:v>
      </x:c>
      <x:c r="U212" s="39" t="str">
        <x:v>Enriquecido</x:v>
      </x:c>
      <x:c r="V212" s="39" t="str"/>
    </x:row>
    <x:row r="213" ht="40" customHeight="1">
      <x:c r="A213" s="39" t="str">
        <x:v>PER0212</x:v>
      </x:c>
      <x:c r="B213" s="39" t="str">
        <x:v>INV027</x:v>
      </x:c>
      <x:c r="C213" s="39" t="str">
        <x:v>Partech</x:v>
      </x:c>
      <x:c r="D213" s="39" t="str">
        <x:v>Alison Imbert</x:v>
      </x:c>
      <x:c r="E213" s="39" t="str">
        <x:v>Partner</x:v>
      </x:c>
      <x:c r="F213" s="39" t="str">
        <x:v>Sim</x:v>
      </x:c>
      <x:c r="G213" s="39" t="str">
        <x:v>Decisor</x:v>
      </x:c>
      <x:c r="H213" s="39" t="str">
        <x:v>Paris</x:v>
      </x:c>
      <x:c r="I213" s="39" t="str">
        <x:v>Seed; fintech; climate; marketplaces</x:v>
      </x:c>
      <x:c r="J213" s="39" t="str">
        <x:v>Day 1; Seed; Series A/B</x:v>
      </x:c>
      <x:c r="K213" s="39" t="str"/>
      <x:c r="L213" s="39" t="str"/>
      <x:c r="M213" s="39" t="str"/>
      <x:c r="N213" s="39" t="str"/>
      <x:c r="O213" s="39" t="str">
        <x:v>https://partechpartners.com/team</x:v>
      </x:c>
      <x:c r="P213" s="39" t="str">
        <x:v>Ser específico sobre a estratégia/fundo, o problema técnico e a razão para agir desde day one.</x:v>
      </x:c>
      <x:c r="Q213" s="39" t="str">
        <x:v>Partech publica critérios por estratégia e perfis detalhados.</x:v>
      </x:c>
      <x:c r="R213" s="39" t="str">
        <x:v>https://partechpartners.com/funds</x:v>
      </x:c>
      <x:c r="S213" s="44" t="str">
        <x:v>2026-09-09</x:v>
      </x:c>
      <x:c r="T213" s="39" t="str">
        <x:v>Alta</x:v>
      </x:c>
      <x:c r="U213" s="39" t="str">
        <x:v>Enriquecido</x:v>
      </x:c>
      <x:c r="V213" s="39" t="str"/>
    </x:row>
    <x:row r="214" ht="40" customHeight="1">
      <x:c r="A214" s="39" t="str">
        <x:v>PER0213</x:v>
      </x:c>
      <x:c r="B214" s="39" t="str">
        <x:v>INV027</x:v>
      </x:c>
      <x:c r="C214" s="39" t="str">
        <x:v>Partech</x:v>
      </x:c>
      <x:c r="D214" s="39" t="str">
        <x:v>Moritz Steinbrecher</x:v>
      </x:c>
      <x:c r="E214" s="39" t="str">
        <x:v>Principal</x:v>
      </x:c>
      <x:c r="F214" s="39" t="str">
        <x:v>Rever</x:v>
      </x:c>
      <x:c r="G214" s="39" t="str">
        <x:v>Equipa de investimento</x:v>
      </x:c>
      <x:c r="H214" s="39" t="str">
        <x:v>Berlim</x:v>
      </x:c>
      <x:c r="I214" s="39" t="str">
        <x:v>Devtools; deeptech; SaaS; DACH</x:v>
      </x:c>
      <x:c r="J214" s="39" t="str">
        <x:v>Day 1; Seed; Series A/B</x:v>
      </x:c>
      <x:c r="K214" s="39" t="str"/>
      <x:c r="L214" s="39" t="str"/>
      <x:c r="M214" s="39" t="str"/>
      <x:c r="N214" s="39" t="str"/>
      <x:c r="O214" s="39" t="str">
        <x:v>https://partechpartners.com/team</x:v>
      </x:c>
      <x:c r="P214" s="39" t="str">
        <x:v>Ser específico sobre a estratégia/fundo, o problema técnico e a razão para agir desde day one.</x:v>
      </x:c>
      <x:c r="Q214" s="39" t="str">
        <x:v>Partech publica critérios por estratégia e perfis detalhados.</x:v>
      </x:c>
      <x:c r="R214" s="39" t="str">
        <x:v>https://partechpartners.com/funds</x:v>
      </x:c>
      <x:c r="S214" s="44" t="str">
        <x:v>2026-09-09</x:v>
      </x:c>
      <x:c r="T214" s="39" t="str">
        <x:v>Alta</x:v>
      </x:c>
      <x:c r="U214" s="39" t="str">
        <x:v>Base</x:v>
      </x:c>
      <x:c r="V214" s="39" t="str"/>
    </x:row>
    <x:row r="215" ht="40" customHeight="1">
      <x:c r="A215" s="39" t="str">
        <x:v>PER0214</x:v>
      </x:c>
      <x:c r="B215" s="39" t="str">
        <x:v>INV027</x:v>
      </x:c>
      <x:c r="C215" s="39" t="str">
        <x:v>Partech</x:v>
      </x:c>
      <x:c r="D215" s="39" t="str">
        <x:v>Simone Riva</x:v>
      </x:c>
      <x:c r="E215" s="39" t="str">
        <x:v>Partner</x:v>
      </x:c>
      <x:c r="F215" s="39" t="str">
        <x:v>Sim</x:v>
      </x:c>
      <x:c r="G215" s="39" t="str">
        <x:v>Decisor</x:v>
      </x:c>
      <x:c r="H215" s="39" t="str">
        <x:v>Paris / Itália</x:v>
      </x:c>
      <x:c r="I215" s="39" t="str">
        <x:v>Venture; software; health</x:v>
      </x:c>
      <x:c r="J215" s="39" t="str">
        <x:v>Day 1; Seed; Series A/B</x:v>
      </x:c>
      <x:c r="K215" s="39" t="str"/>
      <x:c r="L215" s="39" t="str"/>
      <x:c r="M215" s="39" t="str"/>
      <x:c r="N215" s="39" t="str"/>
      <x:c r="O215" s="39" t="str">
        <x:v>https://partechpartners.com/team</x:v>
      </x:c>
      <x:c r="P215" s="39" t="str">
        <x:v>Ser específico sobre a estratégia/fundo, o problema técnico e a razão para agir desde day one.</x:v>
      </x:c>
      <x:c r="Q215" s="39" t="str">
        <x:v>Partech publica critérios por estratégia e perfis detalhados.</x:v>
      </x:c>
      <x:c r="R215" s="39" t="str">
        <x:v>https://partechpartners.com/funds</x:v>
      </x:c>
      <x:c r="S215" s="44" t="str">
        <x:v>2026-09-09</x:v>
      </x:c>
      <x:c r="T215" s="39" t="str">
        <x:v>Alta</x:v>
      </x:c>
      <x:c r="U215" s="39" t="str">
        <x:v>Base</x:v>
      </x:c>
      <x:c r="V215" s="39" t="str"/>
    </x:row>
    <x:row r="216" ht="40" customHeight="1">
      <x:c r="A216" s="39" t="str">
        <x:v>PER0215</x:v>
      </x:c>
      <x:c r="B216" s="39" t="str">
        <x:v>INV027</x:v>
      </x:c>
      <x:c r="C216" s="39" t="str">
        <x:v>Partech</x:v>
      </x:c>
      <x:c r="D216" s="39" t="str">
        <x:v>Ariadne Lemieux-Cumberlege</x:v>
      </x:c>
      <x:c r="E216" s="39" t="str">
        <x:v>Senior Associate</x:v>
      </x:c>
      <x:c r="F216" s="39" t="str">
        <x:v>Rever</x:v>
      </x:c>
      <x:c r="G216" s="39" t="str">
        <x:v>Equipa de investimento</x:v>
      </x:c>
      <x:c r="H216" s="39" t="str">
        <x:v>Paris</x:v>
      </x:c>
      <x:c r="I216" s="39" t="str">
        <x:v>Seed; fintech</x:v>
      </x:c>
      <x:c r="J216" s="39" t="str">
        <x:v>Day 1; Seed; Series A/B</x:v>
      </x:c>
      <x:c r="K216" s="39" t="str"/>
      <x:c r="L216" s="39" t="str"/>
      <x:c r="M216" s="39" t="str"/>
      <x:c r="N216" s="39" t="str"/>
      <x:c r="O216" s="39" t="str">
        <x:v>https://partechpartners.com/team</x:v>
      </x:c>
      <x:c r="P216" s="39" t="str">
        <x:v>Ser específico sobre a estratégia/fundo, o problema técnico e a razão para agir desde day one.</x:v>
      </x:c>
      <x:c r="Q216" s="39" t="str">
        <x:v>Partech publica critérios por estratégia e perfis detalhados.</x:v>
      </x:c>
      <x:c r="R216" s="39" t="str">
        <x:v>https://partechpartners.com/funds</x:v>
      </x:c>
      <x:c r="S216" s="44" t="str">
        <x:v>2026-09-09</x:v>
      </x:c>
      <x:c r="T216" s="39" t="str">
        <x:v>Alta</x:v>
      </x:c>
      <x:c r="U216" s="39" t="str">
        <x:v>Base</x:v>
      </x:c>
      <x:c r="V216" s="39" t="str"/>
    </x:row>
    <x:row r="217" ht="92" customHeight="1">
      <x:c r="A217" s="39" t="str">
        <x:v>PER0216</x:v>
      </x:c>
      <x:c r="B217" s="39" t="str">
        <x:v>INV028</x:v>
      </x:c>
      <x:c r="C217" s="39" t="str">
        <x:v>Korys</x:v>
      </x:c>
      <x:c r="D217" s="39" t="str">
        <x:v>Dries Crevits</x:v>
      </x:c>
      <x:c r="E217" s="39" t="str">
        <x:v>Partner</x:v>
      </x:c>
      <x:c r="F217" s="39" t="str">
        <x:v>Sim</x:v>
      </x:c>
      <x:c r="G217" s="39" t="str">
        <x:v>Decisor provável</x:v>
      </x:c>
      <x:c r="H217" s="39" t="str">
        <x:v>Halle</x:v>
      </x:c>
      <x:c r="I217" s="39" t="str">
        <x:v>Investimentos diretos e fundos</x:v>
      </x:c>
      <x:c r="J217" s="39" t="str">
        <x:v>Series A; Series B; Series C; Growth; Buyout</x:v>
      </x:c>
      <x:c r="K217" s="39" t="str">
        <x:v>PMV; KBC; Fortis</x:v>
      </x:c>
      <x:c r="L217" s="39" t="str"/>
      <x:c r="M217" s="39" t="str"/>
      <x:c r="N217" s="39" t="str"/>
      <x:c r="O217" s="39" t="str">
        <x:v>https://korys.be/our-team/</x:v>
      </x:c>
      <x:c r="P217" s="39" t="str">
        <x:v>Explicar que mudança mensurável o projeto produz em cinco anos e perguntar qual prova inicial justificaria capital paciente.</x:v>
      </x:c>
      <x:c r="Q217" s="39" t="str">
        <x:v>Declaração pessoal: Explica a preferência por investimento com propósito, horizonte longo e impacto observável.</x:v>
      </x:c>
      <x:c r="R217" s="39" t="str">
        <x:v>https://korys.be/our-team/</x:v>
      </x:c>
      <x:c r="S217" s="44" t="str">
        <x:v>2026-09-09</x:v>
      </x:c>
      <x:c r="T217" s="39" t="str">
        <x:v>Alta</x:v>
      </x:c>
      <x:c r="U217" s="39" t="str">
        <x:v>Enriquecido</x:v>
      </x:c>
      <x:c r="V217" s="39" t="str">
        <x:v>Lote 2.</x:v>
      </x:c>
    </x:row>
    <x:row r="218" ht="92" customHeight="1">
      <x:c r="A218" s="39" t="str">
        <x:v>PER0217</x:v>
      </x:c>
      <x:c r="B218" s="39" t="str">
        <x:v>INV028</x:v>
      </x:c>
      <x:c r="C218" s="39" t="str">
        <x:v>Korys</x:v>
      </x:c>
      <x:c r="D218" s="39" t="str">
        <x:v>Hilde Van der Straeten</x:v>
      </x:c>
      <x:c r="E218" s="39" t="str">
        <x:v>Investment Director</x:v>
      </x:c>
      <x:c r="F218" s="39" t="str">
        <x:v>Rever</x:v>
      </x:c>
      <x:c r="G218" s="39" t="str">
        <x:v>Autoridade por confirmar</x:v>
      </x:c>
      <x:c r="H218" s="39" t="str">
        <x:v>Halle</x:v>
      </x:c>
      <x:c r="I218" s="39" t="str">
        <x:v>Consumo sustentável</x:v>
      </x:c>
      <x:c r="J218" s="39" t="str">
        <x:v>Series A; Series B; Series C; Growth; Buyout</x:v>
      </x:c>
      <x:c r="K218" s="39" t="str">
        <x:v>PMV; Belfius; Mitiska</x:v>
      </x:c>
      <x:c r="L218" s="39" t="str"/>
      <x:c r="M218" s="39" t="str"/>
      <x:c r="N218" s="39" t="str"/>
      <x:c r="O218" s="39" t="str">
        <x:v>https://korys.be/our-team/</x:v>
      </x:c>
      <x:c r="P218" s="39" t="str">
        <x:v>Mostrar dados de utilização que provem que a alternativa responsável é tão conveniente como a atual.</x:v>
      </x:c>
      <x:c r="Q218" s="39" t="str">
        <x:v>Perfil institucional: Procura benefícios para saúde e sustentabilidade sem sacrificar conveniência.</x:v>
      </x:c>
      <x:c r="R218" s="39" t="str">
        <x:v>https://korys.be/our-team/</x:v>
      </x:c>
      <x:c r="S218" s="44" t="str">
        <x:v>2026-09-09</x:v>
      </x:c>
      <x:c r="T218" s="39" t="str">
        <x:v>Média</x:v>
      </x:c>
      <x:c r="U218" s="39" t="str">
        <x:v>Enriquecido</x:v>
      </x:c>
      <x:c r="V218" s="39" t="str">
        <x:v>Lote 2.</x:v>
      </x:c>
    </x:row>
    <x:row r="219" ht="92" customHeight="1">
      <x:c r="A219" s="39" t="str">
        <x:v>PER0218</x:v>
      </x:c>
      <x:c r="B219" s="39" t="str">
        <x:v>INV028</x:v>
      </x:c>
      <x:c r="C219" s="39" t="str">
        <x:v>Korys</x:v>
      </x:c>
      <x:c r="D219" s="39" t="str">
        <x:v>Quentin Dupont</x:v>
      </x:c>
      <x:c r="E219" s="39" t="str">
        <x:v>Senior Investment Manager</x:v>
      </x:c>
      <x:c r="F219" s="39" t="str">
        <x:v>Rever</x:v>
      </x:c>
      <x:c r="G219" s="39" t="str">
        <x:v>Autoridade por confirmar</x:v>
      </x:c>
      <x:c r="H219" s="39" t="str">
        <x:v>Halle</x:v>
      </x:c>
      <x:c r="I219" s="39" t="str">
        <x:v>Tecnologias para energia</x:v>
      </x:c>
      <x:c r="J219" s="39" t="str">
        <x:v>Series A; Series B; Series C; Growth; Buyout</x:v>
      </x:c>
      <x:c r="K219" s="39" t="str">
        <x:v>Deloitte M&amp;A</x:v>
      </x:c>
      <x:c r="L219" s="39" t="str"/>
      <x:c r="M219" s="39" t="str"/>
      <x:c r="N219" s="39" t="str"/>
      <x:c r="O219" s="39" t="str">
        <x:v>https://korys.be/our-team/</x:v>
      </x:c>
      <x:c r="P219" s="39" t="str">
        <x:v>Partir da Greenely para perguntar que evidência de adoção doméstica e flexibilidade energética espera antes da expansão geográfica.</x:v>
      </x:c>
      <x:c r="Q219" s="39" t="str">
        <x:v>Declaração conjunta: Declaração conjunta com Brieuc de Hults apoia a expansão da Greenely e a mudança no consumo doméstico de energia.</x:v>
      </x:c>
      <x:c r="R219" s="39" t="str">
        <x:v>https://korys.be/our-team/</x:v>
      </x:c>
      <x:c r="S219" s="44" t="str">
        <x:v>2026-09-09</x:v>
      </x:c>
      <x:c r="T219" s="39" t="str">
        <x:v>Média</x:v>
      </x:c>
      <x:c r="U219" s="39" t="str">
        <x:v>Enriquecido</x:v>
      </x:c>
      <x:c r="V219" s="39" t="str">
        <x:v>Lote 2.</x:v>
      </x:c>
    </x:row>
    <x:row r="220" ht="92" customHeight="1">
      <x:c r="A220" s="39" t="str">
        <x:v>PER0219</x:v>
      </x:c>
      <x:c r="B220" s="39" t="str">
        <x:v>INV028</x:v>
      </x:c>
      <x:c r="C220" s="39" t="str">
        <x:v>Korys</x:v>
      </x:c>
      <x:c r="D220" s="39" t="str">
        <x:v>Karel Van Cleemput</x:v>
      </x:c>
      <x:c r="E220" s="39" t="str">
        <x:v>Senior Investment Manager</x:v>
      </x:c>
      <x:c r="F220" s="39" t="str">
        <x:v>Rever</x:v>
      </x:c>
      <x:c r="G220" s="39" t="str">
        <x:v>Autoridade por confirmar</x:v>
      </x:c>
      <x:c r="H220" s="39" t="str">
        <x:v>Halle</x:v>
      </x:c>
      <x:c r="I220" s="39" t="str">
        <x:v>Energia e mobilidade</x:v>
      </x:c>
      <x:c r="J220" s="39" t="str">
        <x:v>Series A; Series B; Series C; Growth; Buyout</x:v>
      </x:c>
      <x:c r="K220" s="39" t="str">
        <x:v>KBC Securities</x:v>
      </x:c>
      <x:c r="L220" s="39" t="str"/>
      <x:c r="M220" s="39" t="str">
        <x:v>karel.vancleemput@korys.be</x:v>
      </x:c>
      <x:c r="N220" s="39" t="str"/>
      <x:c r="O220" s="39" t="str">
        <x:v>https://korys.be/our-team/</x:v>
      </x:c>
      <x:c r="P220" s="39" t="str"/>
      <x:c r="Q220" s="39" t="str">
        <x:v>Enriquecimento de conteúdo ainda incompleto.</x:v>
      </x:c>
      <x:c r="R220" s="39" t="str">
        <x:v>https://korys.be/our-team/</x:v>
      </x:c>
      <x:c r="S220" s="44" t="str">
        <x:v>2026-09-09</x:v>
      </x:c>
      <x:c r="T220" s="39" t="str">
        <x:v>Média</x:v>
      </x:c>
      <x:c r="U220" s="39" t="str">
        <x:v>Parcial</x:v>
      </x:c>
      <x:c r="V220" s="39" t="str">
        <x:v>Email publicado no diretório VLAIO; não testado para entrega. Lote 2.</x:v>
      </x:c>
    </x:row>
    <x:row r="221" ht="92" customHeight="1">
      <x:c r="A221" s="39" t="str">
        <x:v>PER0220</x:v>
      </x:c>
      <x:c r="B221" s="39" t="str">
        <x:v>INV028</x:v>
      </x:c>
      <x:c r="C221" s="39" t="str">
        <x:v>Korys</x:v>
      </x:c>
      <x:c r="D221" s="39" t="str">
        <x:v>David Devigne</x:v>
      </x:c>
      <x:c r="E221" s="39" t="str">
        <x:v>Investment Director</x:v>
      </x:c>
      <x:c r="F221" s="39" t="str">
        <x:v>Rever</x:v>
      </x:c>
      <x:c r="G221" s="39" t="str">
        <x:v>Autoridade por confirmar</x:v>
      </x:c>
      <x:c r="H221" s="39" t="str">
        <x:v>Halle</x:v>
      </x:c>
      <x:c r="I221" s="39" t="str">
        <x:v>Life sciences</x:v>
      </x:c>
      <x:c r="J221" s="39" t="str">
        <x:v>Series A; Series B; Series C; Growth; Buyout</x:v>
      </x:c>
      <x:c r="K221" s="39" t="str">
        <x:v>UCB; PMV</x:v>
      </x:c>
      <x:c r="L221" s="39" t="str"/>
      <x:c r="M221" s="39" t="str">
        <x:v>david.devigne@korys.be</x:v>
      </x:c>
      <x:c r="N221" s="39" t="str">
        <x:v>https://be.linkedin.com/in/daviddevigne</x:v>
      </x:c>
      <x:c r="O221" s="39" t="str">
        <x:v>https://korys.be/our-team/</x:v>
      </x:c>
      <x:c r="P221" s="39" t="str">
        <x:v>Se o projeto for oncológico, apresentar a população sem opção eficaz e os dados que sustentam a diferenciação terapêutica.</x:v>
      </x:c>
      <x:c r="Q221" s="39" t="str">
        <x:v>Declaração pessoal citada: Atribui à Mablink potencial para doentes sem resposta nas terapias existentes.</x:v>
      </x:c>
      <x:c r="R221" s="39" t="str">
        <x:v>https://korys.be/our-team/</x:v>
      </x:c>
      <x:c r="S221" s="44" t="str">
        <x:v>2026-09-09</x:v>
      </x:c>
      <x:c r="T221" s="39" t="str">
        <x:v>Média</x:v>
      </x:c>
      <x:c r="U221" s="39" t="str">
        <x:v>Enriquecido</x:v>
      </x:c>
      <x:c r="V221" s="39" t="str">
        <x:v>Email publicado no diretório VLAIO; não testado para entrega. Lote 2.</x:v>
      </x:c>
    </x:row>
    <x:row r="222" ht="92" customHeight="1">
      <x:c r="A222" s="39" t="str">
        <x:v>PER0221</x:v>
      </x:c>
      <x:c r="B222" s="39" t="str">
        <x:v>INV028</x:v>
      </x:c>
      <x:c r="C222" s="39" t="str">
        <x:v>Korys</x:v>
      </x:c>
      <x:c r="D222" s="39" t="str">
        <x:v>Katti Van Oosterwijck</x:v>
      </x:c>
      <x:c r="E222" s="39" t="str">
        <x:v>Senior Investment Manager</x:v>
      </x:c>
      <x:c r="F222" s="39" t="str">
        <x:v>Rever</x:v>
      </x:c>
      <x:c r="G222" s="39" t="str">
        <x:v>Autoridade por confirmar</x:v>
      </x:c>
      <x:c r="H222" s="39" t="str">
        <x:v>Halle</x:v>
      </x:c>
      <x:c r="I222" s="39" t="str">
        <x:v>Consumo sustentável</x:v>
      </x:c>
      <x:c r="J222" s="39" t="str">
        <x:v>Series A; Series B; Series C; Growth; Buyout</x:v>
      </x:c>
      <x:c r="K222" s="39" t="str"/>
      <x:c r="L222" s="39" t="str"/>
      <x:c r="M222" s="39" t="str">
        <x:v>katti.vanoosterwijck@korys.be</x:v>
      </x:c>
      <x:c r="N222" s="39" t="str"/>
      <x:c r="O222" s="39" t="str">
        <x:v>https://www.vlaio.be/en/download/pdf?file=generated-pdf%2Frisicokapitaalverschaffer-korys_direct_investments-7362.pdf</x:v>
      </x:c>
      <x:c r="P222" s="39" t="str"/>
      <x:c r="Q222" s="39" t="str">
        <x:v>Enriquecimento de conteúdo ainda incompleto.</x:v>
      </x:c>
      <x:c r="R222" s="39" t="str">
        <x:v>https://www.vlaio.be/en/download/pdf?file=generated-pdf%2Frisicokapitaalverschaffer-korys_direct_investments-7362.pdf</x:v>
      </x:c>
      <x:c r="S222" s="44" t="str">
        <x:v>2026-09-09</x:v>
      </x:c>
      <x:c r="T222" s="39" t="str">
        <x:v>Média</x:v>
      </x:c>
      <x:c r="U222" s="39" t="str">
        <x:v>Parcial</x:v>
      </x:c>
      <x:c r="V222" s="39" t="str">
        <x:v>Cargo também confirmado na página atual da equipa; conteúdo próprio ainda por aprofundar. Email público VLAIO. Lote 2.</x:v>
      </x:c>
    </x:row>
    <x:row r="223" ht="92" customHeight="1">
      <x:c r="A223" s="39" t="str">
        <x:v>PER0222</x:v>
      </x:c>
      <x:c r="B223" s="39" t="str">
        <x:v>INV029</x:v>
      </x:c>
      <x:c r="C223" s="39" t="str">
        <x:v>H14</x:v>
      </x:c>
      <x:c r="D223" s="39" t="str">
        <x:v>Riccardo Porcelli</x:v>
      </x:c>
      <x:c r="E223" s="39" t="str">
        <x:v>Technology Growth Investing (título exato a confirmar)</x:v>
      </x:c>
      <x:c r="F223" s="39" t="str">
        <x:v>Rever</x:v>
      </x:c>
      <x:c r="G223" s="39" t="str">
        <x:v>Autoridade por confirmar</x:v>
      </x:c>
      <x:c r="H223" s="39" t="str">
        <x:v>Milão</x:v>
      </x:c>
      <x:c r="I223" s="39" t="str">
        <x:v>Growth tecnológico</x:v>
      </x:c>
      <x:c r="J223" s="39" t="str">
        <x:v>Venture; Growth</x:v>
      </x:c>
      <x:c r="K223" s="39" t="str">
        <x:v>Bocconi Students Investment Club: antigo presidente</x:v>
      </x:c>
      <x:c r="L223" s="39" t="str"/>
      <x:c r="M223" s="39" t="str"/>
      <x:c r="N223" s="39" t="str">
        <x:v>https://it.linkedin.com/in/riccardo-porcelli-658b6874</x:v>
      </x:c>
      <x:c r="O223" s="39" t="str">
        <x:v>https://it.linkedin.com/in/riccardo-porcelli-658b6874</x:v>
      </x:c>
      <x:c r="P223" s="39" t="str">
        <x:v>Ligar o crescimento do negócio a uma métrica verificável de acesso ao serviço, em vez de usar apenas uma narrativa de impacto.</x:v>
      </x:c>
      <x:c r="Q223" s="39" t="str">
        <x:v>Declaração pessoal: Associa liderança de categoria a acesso a terapia e redução do estigma.</x:v>
      </x:c>
      <x:c r="R223" s="39" t="str">
        <x:v>https://it.linkedin.com/in/riccardo-porcelli-658b6874</x:v>
      </x:c>
      <x:c r="S223" s="44" t="str">
        <x:v>2026-09-09</x:v>
      </x:c>
      <x:c r="T223" s="39" t="str">
        <x:v>Média</x:v>
      </x:c>
      <x:c r="U223" s="39" t="str">
        <x:v>Enriquecido</x:v>
      </x:c>
      <x:c r="V223" s="39" t="str">
        <x:v>Fontes antigas chamam-lhe Head of Digital Investments; perfil público confirma H14 mas omite cargo formal. Lote 2.</x:v>
      </x:c>
    </x:row>
    <x:row r="224" ht="92" customHeight="1">
      <x:c r="A224" s="39" t="str">
        <x:v>PER0223</x:v>
      </x:c>
      <x:c r="B224" s="39" t="str">
        <x:v>INV029</x:v>
      </x:c>
      <x:c r="C224" s="39" t="str">
        <x:v>H14</x:v>
      </x:c>
      <x:c r="D224" s="39" t="str">
        <x:v>Luigi Lonardi</x:v>
      </x:c>
      <x:c r="E224" s="39" t="str">
        <x:v>Equipa H14 (título atual não exposto)</x:v>
      </x:c>
      <x:c r="F224" s="39" t="str">
        <x:v>Rever</x:v>
      </x:c>
      <x:c r="G224" s="39" t="str">
        <x:v>Autoridade por confirmar</x:v>
      </x:c>
      <x:c r="H224" s="39" t="str">
        <x:v>Milão</x:v>
      </x:c>
      <x:c r="I224" s="39" t="str">
        <x:v>Digital investments (fonte de 2024)</x:v>
      </x:c>
      <x:c r="J224" s="39" t="str">
        <x:v>Venture; Growth</x:v>
      </x:c>
      <x:c r="K224" s="39" t="str">
        <x:v>Formação LSE</x:v>
      </x:c>
      <x:c r="L224" s="39" t="str"/>
      <x:c r="M224" s="39" t="str"/>
      <x:c r="N224" s="39" t="str">
        <x:v>https://it.linkedin.com/in/luigi-lonardi-3609a9118</x:v>
      </x:c>
      <x:c r="O224" s="39" t="str">
        <x:v>https://it.linkedin.com/in/luigi-lonardi-3609a9118</x:v>
      </x:c>
      <x:c r="P224" s="39" t="str"/>
      <x:c r="Q224" s="39" t="str">
        <x:v>Enriquecimento de conteúdo ainda incompleto.</x:v>
      </x:c>
      <x:c r="R224" s="39" t="str">
        <x:v>https://it.linkedin.com/in/luigi-lonardi-3609a9118</x:v>
      </x:c>
      <x:c r="S224" s="44" t="str">
        <x:v>2026-09-09</x:v>
      </x:c>
      <x:c r="T224" s="39" t="str">
        <x:v>Média</x:v>
      </x:c>
      <x:c r="U224" s="39" t="str">
        <x:v>Parcial</x:v>
      </x:c>
      <x:c r="V224" s="39" t="str">
        <x:v>Notícia de 2024: Vice President. Perfil atual confirma entidade, não o título. Reações a posts não são opiniões atribuíveis. Lote 2.</x:v>
      </x:c>
    </x:row>
    <x:row r="225" ht="92" customHeight="1">
      <x:c r="A225" s="39" t="str">
        <x:v>PER0224</x:v>
      </x:c>
      <x:c r="B225" s="39" t="str">
        <x:v>INV030</x:v>
      </x:c>
      <x:c r="C225" s="39" t="str">
        <x:v>Fink Family Office</x:v>
      </x:c>
      <x:c r="D225" s="39" t="str">
        <x:v>Alexander Fink</x:v>
      </x:c>
      <x:c r="E225" s="39" t="str">
        <x:v>Principal</x:v>
      </x:c>
      <x:c r="F225" s="39" t="str">
        <x:v>Sim</x:v>
      </x:c>
      <x:c r="G225" s="39" t="str">
        <x:v>Decisor provável</x:v>
      </x:c>
      <x:c r="H225" s="39" t="str">
        <x:v>Londres</x:v>
      </x:c>
      <x:c r="I225" s="39" t="str">
        <x:v>Fintech; proptech; deeptech; IA para investimento</x:v>
      </x:c>
      <x:c r="J225" s="39" t="str">
        <x:v>Seed; Series A; Series B</x:v>
      </x:c>
      <x:c r="K225" s="39" t="str">
        <x:v>Empirical Ventures: ligação adicional como Partner / IC, em anúncio público</x:v>
      </x:c>
      <x:c r="L225" s="39" t="str"/>
      <x:c r="M225" s="39" t="str"/>
      <x:c r="N225" s="39" t="str">
        <x:v>https://uk.linkedin.com/in/alexandermfink</x:v>
      </x:c>
      <x:c r="O225" s="39" t="str">
        <x:v>https://uk.linkedin.com/in/alexandermfink</x:v>
      </x:c>
      <x:c r="P225" s="39" t="str">
        <x:v>No caso SaaS: mostrar como a descoberta de investidores complementa a análise de empresas, e pedir opinião sobre a fronteira entre as duas tarefas.</x:v>
      </x:c>
      <x:c r="Q225" s="39" t="str">
        <x:v>Declaração pessoal: Diz que a family office usa Allermuir para diligência de empresas privadas.</x:v>
      </x:c>
      <x:c r="R225" s="39" t="str">
        <x:v>https://uk.linkedin.com/in/alexandermfink</x:v>
      </x:c>
      <x:c r="S225" s="44" t="str">
        <x:v>2026-09-09</x:v>
      </x:c>
      <x:c r="T225" s="39" t="str">
        <x:v>Alta</x:v>
      </x:c>
      <x:c r="U225" s="39" t="str">
        <x:v>Enriquecido</x:v>
      </x:c>
      <x:c r="V225" s="39" t="str">
        <x:v>A ligação à Empirical não gera outro registo de pessoa. Allermuir: potencial sobreposição com o caso SaaS; não assumir interesse em investir. Lote 2.</x:v>
      </x:c>
    </x:row>
    <x:row r="226" ht="92" customHeight="1">
      <x:c r="A226" s="39" t="str">
        <x:v>PER0225</x:v>
      </x:c>
      <x:c r="B226" s="39" t="str">
        <x:v>INV030</x:v>
      </x:c>
      <x:c r="C226" s="39" t="str">
        <x:v>Fink Family Office</x:v>
      </x:c>
      <x:c r="D226" s="39" t="str">
        <x:v>Jordan Fink</x:v>
      </x:c>
      <x:c r="E226" s="39" t="str">
        <x:v>Principal (segundo conferência de 2026)</x:v>
      </x:c>
      <x:c r="F226" s="39" t="str">
        <x:v>Rever</x:v>
      </x:c>
      <x:c r="G226" s="39" t="str">
        <x:v>Autoridade por confirmar</x:v>
      </x:c>
      <x:c r="H226" s="39" t="str">
        <x:v>Londres</x:v>
      </x:c>
      <x:c r="I226" s="39" t="str">
        <x:v>Fintech; life sciences; software de análise de investimentos</x:v>
      </x:c>
      <x:c r="J226" s="39" t="str">
        <x:v>Seed; Series A; Series B</x:v>
      </x:c>
      <x:c r="K226" s="39" t="str">
        <x:v>Client service; Allermuir Capital (função adicional)</x:v>
      </x:c>
      <x:c r="L226" s="39" t="str"/>
      <x:c r="M226" s="39" t="str"/>
      <x:c r="N226" s="39" t="str">
        <x:v>https://uk.linkedin.com/in/jordan-fink-65304a123</x:v>
      </x:c>
      <x:c r="O226" s="39" t="str">
        <x:v>https://uk.linkedin.com/in/jordan-fink-65304a123</x:v>
      </x:c>
      <x:c r="P226" s="39" t="str">
        <x:v>Perguntar onde a pesquisa externa de investidores pode complementar o trabalho com documentos internos e demonstrar a proveniência de cada dado.</x:v>
      </x:c>
      <x:c r="Q226" s="39" t="str">
        <x:v>Declaração pessoal: Explica o uso de data rooms e memorandos na análise automatizada de investimentos.</x:v>
      </x:c>
      <x:c r="R226" s="39" t="str">
        <x:v>https://uk.linkedin.com/in/jordan-fink-65304a123</x:v>
      </x:c>
      <x:c r="S226" s="44" t="str">
        <x:v>2026-09-09</x:v>
      </x:c>
      <x:c r="T226" s="39" t="str">
        <x:v>Média</x:v>
      </x:c>
      <x:c r="U226" s="39" t="str">
        <x:v>Enriquecido</x:v>
      </x:c>
      <x:c r="V226" s="39" t="str">
        <x:v>Fonte atual do perfil destaca Allermuir; confirmar atribuições e disponibilidade para novos cheques na Fink Family Office. Lote 2.</x:v>
      </x:c>
    </x:row>
    <x:row r="227" ht="92" customHeight="1">
      <x:c r="A227" s="39" t="str">
        <x:v>PER0226</x:v>
      </x:c>
      <x:c r="B227" s="39" t="str">
        <x:v>INV031</x:v>
      </x:c>
      <x:c r="C227" s="39" t="str">
        <x:v>DIG Ventures</x:v>
      </x:c>
      <x:c r="D227" s="39" t="str">
        <x:v>Ross Mason</x:v>
      </x:c>
      <x:c r="E227" s="39" t="str">
        <x:v>Founding Partner</x:v>
      </x:c>
      <x:c r="F227" s="39" t="str">
        <x:v>Sim</x:v>
      </x:c>
      <x:c r="G227" s="39" t="str">
        <x:v>Decisor provável</x:v>
      </x:c>
      <x:c r="H227" s="39" t="str">
        <x:v>Londres</x:v>
      </x:c>
      <x:c r="I227" s="39" t="str">
        <x:v>B2B SaaS; IA; infraestrutura</x:v>
      </x:c>
      <x:c r="J227" s="39" t="str">
        <x:v>Pre-seed; Seed</x:v>
      </x:c>
      <x:c r="K227" s="39" t="str">
        <x:v>Fundador da MuleSoft</x:v>
      </x:c>
      <x:c r="L227" s="39" t="str"/>
      <x:c r="M227" s="39" t="str"/>
      <x:c r="N227" s="39" t="str"/>
      <x:c r="O227" s="39" t="str">
        <x:v>https://www.dig.ventures/team</x:v>
      </x:c>
      <x:c r="P227" s="39" t="str">
        <x:v>Perguntar que erro de produto ou vendas um fundador técnico deve resolver antes de captar, ligando a pergunta à experiência MuleSoft.</x:v>
      </x:c>
      <x:c r="Q227" s="39" t="str">
        <x:v>Declaração pessoal: Explica a evolução de family office para fundo institucional e o apoio operacional a founders europeus.</x:v>
      </x:c>
      <x:c r="R227" s="39" t="str">
        <x:v>https://www.dig.ventures/team</x:v>
      </x:c>
      <x:c r="S227" s="44" t="str">
        <x:v>2026-09-09</x:v>
      </x:c>
      <x:c r="T227" s="39" t="str">
        <x:v>Alta</x:v>
      </x:c>
      <x:c r="U227" s="39" t="str">
        <x:v>Enriquecido</x:v>
      </x:c>
      <x:c r="V227" s="39" t="str">
        <x:v>Desia é uma participação anunciada por Ross com possível sobreposição com ferramentas para profissionais de investimento. Lote 2.</x:v>
      </x:c>
    </x:row>
    <x:row r="228" ht="92" customHeight="1">
      <x:c r="A228" s="39" t="str">
        <x:v>PER0227</x:v>
      </x:c>
      <x:c r="B228" s="39" t="str">
        <x:v>INV031</x:v>
      </x:c>
      <x:c r="C228" s="39" t="str">
        <x:v>DIG Ventures</x:v>
      </x:c>
      <x:c r="D228" s="39" t="str">
        <x:v>Melissa Klinger</x:v>
      </x:c>
      <x:c r="E228" s="39" t="str">
        <x:v>General Partner</x:v>
      </x:c>
      <x:c r="F228" s="39" t="str">
        <x:v>Sim</x:v>
      </x:c>
      <x:c r="G228" s="39" t="str">
        <x:v>Decisor provável</x:v>
      </x:c>
      <x:c r="H228" s="39" t="str">
        <x:v>Londres</x:v>
      </x:c>
      <x:c r="I228" s="39" t="str">
        <x:v>B2B; comercialização de software técnico</x:v>
      </x:c>
      <x:c r="J228" s="39" t="str">
        <x:v>Pre-seed; Seed</x:v>
      </x:c>
      <x:c r="K228" s="39" t="str">
        <x:v>MuleSoft: vendas, customer success e estratégia</x:v>
      </x:c>
      <x:c r="L228" s="39" t="str"/>
      <x:c r="M228" s="39" t="str"/>
      <x:c r="N228" s="39" t="str"/>
      <x:c r="O228" s="39" t="str">
        <x:v>https://www.dig.ventures/team</x:v>
      </x:c>
      <x:c r="P228" s="39" t="str">
        <x:v>Levar um exemplo de conversa comercial difícil e perguntar o que mudaria na primeira venda de um produto técnico.</x:v>
      </x:c>
      <x:c r="Q228" s="39" t="str">
        <x:v>Perfil institucional: A biografia destaca trabalho com founders técnicos na construção da função comercial.</x:v>
      </x:c>
      <x:c r="R228" s="39" t="str">
        <x:v>https://www.dig.ventures/team</x:v>
      </x:c>
      <x:c r="S228" s="44" t="str">
        <x:v>2026-09-09</x:v>
      </x:c>
      <x:c r="T228" s="39" t="str">
        <x:v>Alta</x:v>
      </x:c>
      <x:c r="U228" s="39" t="str">
        <x:v>Enriquecido</x:v>
      </x:c>
      <x:c r="V228" s="39" t="str">
        <x:v>Lote 2.</x:v>
      </x:c>
    </x:row>
    <x:row r="229" ht="92" customHeight="1">
      <x:c r="A229" s="39" t="str">
        <x:v>PER0228</x:v>
      </x:c>
      <x:c r="B229" s="39" t="str">
        <x:v>INV031</x:v>
      </x:c>
      <x:c r="C229" s="39" t="str">
        <x:v>DIG Ventures</x:v>
      </x:c>
      <x:c r="D229" s="39" t="str">
        <x:v>Rytis Vitkauskas</x:v>
      </x:c>
      <x:c r="E229" s="39" t="str">
        <x:v>General Partner</x:v>
      </x:c>
      <x:c r="F229" s="39" t="str">
        <x:v>Sim</x:v>
      </x:c>
      <x:c r="G229" s="39" t="str">
        <x:v>Decisor provável</x:v>
      </x:c>
      <x:c r="H229" s="39" t="str">
        <x:v>Londres</x:v>
      </x:c>
      <x:c r="I229" s="39" t="str">
        <x:v>B2B software; IA</x:v>
      </x:c>
      <x:c r="J229" s="39" t="str">
        <x:v>Pre-seed; Seed</x:v>
      </x:c>
      <x:c r="K229" s="39" t="str">
        <x:v>Lightspeed; Target Global; Summit Partners; cofundador da YPlan</x:v>
      </x:c>
      <x:c r="L229" s="39" t="str"/>
      <x:c r="M229" s="39" t="str"/>
      <x:c r="N229" s="39" t="str">
        <x:v>https://uk.linkedin.com/in/rvitkauskas</x:v>
      </x:c>
      <x:c r="O229" s="39" t="str">
        <x:v>https://www.dig.ventures/team</x:v>
      </x:c>
      <x:c r="P229" s="39" t="str">
        <x:v>Relacionar a execução do teu projeto com uma aprendizagem acumulada da equipa e perguntar que marco valida uma plataforma de IA empresarial.</x:v>
      </x:c>
      <x:c r="Q229" s="39" t="str">
        <x:v>Declaração pessoal: Salienta continuidade da parceria com a equipa nexos.ai e execução ao longo dos anos.</x:v>
      </x:c>
      <x:c r="R229" s="39" t="str">
        <x:v>https://www.dig.ventures/team</x:v>
      </x:c>
      <x:c r="S229" s="44" t="str">
        <x:v>2026-09-09</x:v>
      </x:c>
      <x:c r="T229" s="39" t="str">
        <x:v>Alta</x:v>
      </x:c>
      <x:c r="U229" s="39" t="str">
        <x:v>Enriquecido</x:v>
      </x:c>
      <x:c r="V229" s="39" t="str">
        <x:v>Perfil LinkedIn tem cabeçalho antigo Lightspeed; página oficial DIG prevalece para o cargo atual. Lote 2.</x:v>
      </x:c>
    </x:row>
    <x:row r="230" ht="92" customHeight="1">
      <x:c r="A230" s="39" t="str">
        <x:v>PER0229</x:v>
      </x:c>
      <x:c r="B230" s="39" t="str">
        <x:v>INV032</x:v>
      </x:c>
      <x:c r="C230" s="39" t="str">
        <x:v>Smedvig Ventures</x:v>
      </x:c>
      <x:c r="D230" s="39" t="str">
        <x:v>Jon Lerner</x:v>
      </x:c>
      <x:c r="E230" s="39" t="str">
        <x:v>Partner</x:v>
      </x:c>
      <x:c r="F230" s="39" t="str">
        <x:v>Sim</x:v>
      </x:c>
      <x:c r="G230" s="39" t="str">
        <x:v>Decisor provável</x:v>
      </x:c>
      <x:c r="H230" s="39" t="str">
        <x:v>Londres</x:v>
      </x:c>
      <x:c r="I230" s="39" t="str">
        <x:v>SaaS; infraestrutura; martech</x:v>
      </x:c>
      <x:c r="J230" s="39" t="str">
        <x:v>Late Seed; Series A; crescimento subsequente</x:v>
      </x:c>
      <x:c r="K230" s="39" t="str">
        <x:v>Consultoria e estratégia; Bain &amp; Company (entrevista de 2022)</x:v>
      </x:c>
      <x:c r="L230" s="39" t="str"/>
      <x:c r="M230" s="39" t="str"/>
      <x:c r="N230" s="39" t="str"/>
      <x:c r="O230" s="39" t="str">
        <x:v>https://smedvig.vc/people/jon-lerner/</x:v>
      </x:c>
      <x:c r="P230" s="39" t="str">
        <x:v>Apresentar um funil e uma cohort de retenção; perguntar qual teste faria primeiro para distinguir PMF de distribuição.</x:v>
      </x:c>
      <x:c r="Q230" s="39" t="str">
        <x:v>Declaração pessoal: Defende diagnosticar se um problema de vendas resulta de produto, GTM ou ambos.</x:v>
      </x:c>
      <x:c r="R230" s="39" t="str">
        <x:v>https://smedvig.vc/people/jon-lerner/</x:v>
      </x:c>
      <x:c r="S230" s="44" t="str">
        <x:v>2026-09-09</x:v>
      </x:c>
      <x:c r="T230" s="39" t="str">
        <x:v>Alta</x:v>
      </x:c>
      <x:c r="U230" s="39" t="str">
        <x:v>Enriquecido</x:v>
      </x:c>
      <x:c r="V230" s="39" t="str">
        <x:v>Lote 2.</x:v>
      </x:c>
    </x:row>
    <x:row r="231" ht="92" customHeight="1">
      <x:c r="A231" s="39" t="str">
        <x:v>PER0230</x:v>
      </x:c>
      <x:c r="B231" s="39" t="str">
        <x:v>INV032</x:v>
      </x:c>
      <x:c r="C231" s="39" t="str">
        <x:v>Smedvig Ventures</x:v>
      </x:c>
      <x:c r="D231" s="39" t="str">
        <x:v>Joe Knowles</x:v>
      </x:c>
      <x:c r="E231" s="39" t="str">
        <x:v>Partner</x:v>
      </x:c>
      <x:c r="F231" s="39" t="str">
        <x:v>Sim</x:v>
      </x:c>
      <x:c r="G231" s="39" t="str">
        <x:v>Decisor provável</x:v>
      </x:c>
      <x:c r="H231" s="39" t="str">
        <x:v>Londres</x:v>
      </x:c>
      <x:c r="I231" s="39" t="str">
        <x:v>B2B software; dados; IA aplicada</x:v>
      </x:c>
      <x:c r="J231" s="39" t="str">
        <x:v>Late Seed; Series A; crescimento subsequente</x:v>
      </x:c>
      <x:c r="K231" s="39" t="str">
        <x:v>Formação em engenharia; investimento em software</x:v>
      </x:c>
      <x:c r="L231" s="39" t="str"/>
      <x:c r="M231" s="39" t="str"/>
      <x:c r="N231" s="39" t="str"/>
      <x:c r="O231" s="39" t="str">
        <x:v>https://smedvig.vc/people/joe-knowles/</x:v>
      </x:c>
      <x:c r="P231" s="39" t="str">
        <x:v>Enviar três possíveis prioridades e os dados de cada uma; pedir opinião sobre a que removeria primeiro.</x:v>
      </x:c>
      <x:c r="Q231" s="39" t="str">
        <x:v>Declaração pessoal: Define apoio a founders como identificar o problema principal e priorizar com rigor.</x:v>
      </x:c>
      <x:c r="R231" s="39" t="str">
        <x:v>https://smedvig.vc/people/joe-knowles/</x:v>
      </x:c>
      <x:c r="S231" s="44" t="str">
        <x:v>2026-09-09</x:v>
      </x:c>
      <x:c r="T231" s="39" t="str">
        <x:v>Alta</x:v>
      </x:c>
      <x:c r="U231" s="39" t="str">
        <x:v>Enriquecido</x:v>
      </x:c>
      <x:c r="V231" s="39" t="str">
        <x:v>Também declara atividade angel e aconselhamento à Sustainability First. Lote 2.</x:v>
      </x:c>
    </x:row>
    <x:row r="232" ht="92" customHeight="1">
      <x:c r="A232" s="39" t="str">
        <x:v>PER0231</x:v>
      </x:c>
      <x:c r="B232" s="39" t="str">
        <x:v>INV032</x:v>
      </x:c>
      <x:c r="C232" s="39" t="str">
        <x:v>Smedvig Ventures</x:v>
      </x:c>
      <x:c r="D232" s="39" t="str">
        <x:v>Rob Toms</x:v>
      </x:c>
      <x:c r="E232" s="39" t="str">
        <x:v>Partner</x:v>
      </x:c>
      <x:c r="F232" s="39" t="str">
        <x:v>Sim</x:v>
      </x:c>
      <x:c r="G232" s="39" t="str">
        <x:v>Decisor provável</x:v>
      </x:c>
      <x:c r="H232" s="39" t="str">
        <x:v>Londres</x:v>
      </x:c>
      <x:c r="I232" s="39" t="str">
        <x:v>Escala de vendas e marketing</x:v>
      </x:c>
      <x:c r="J232" s="39" t="str">
        <x:v>Late Seed; Series A; crescimento subsequente</x:v>
      </x:c>
      <x:c r="K232" s="39" t="str">
        <x:v>Bain &amp; Company; M&amp;A corporativo; física e MBA</x:v>
      </x:c>
      <x:c r="L232" s="39" t="str"/>
      <x:c r="M232" s="39" t="str"/>
      <x:c r="N232" s="39" t="str"/>
      <x:c r="O232" s="39" t="str">
        <x:v>https://smedvig.vc/people/rob-toms/</x:v>
      </x:c>
      <x:c r="P232" s="39" t="str">
        <x:v>Apresentar CAC, período de recuperação e crescimento por cohort; perguntar onde costuma surgir primeiro a perda de eficiência.</x:v>
      </x:c>
      <x:c r="Q232" s="39" t="str">
        <x:v>Declaração pessoal: Descreve a dificuldade de escalar vendas mantendo crescimento e eficiência.</x:v>
      </x:c>
      <x:c r="R232" s="39" t="str">
        <x:v>https://smedvig.vc/people/rob-toms/</x:v>
      </x:c>
      <x:c r="S232" s="44" t="str">
        <x:v>2026-09-09</x:v>
      </x:c>
      <x:c r="T232" s="39" t="str">
        <x:v>Alta</x:v>
      </x:c>
      <x:c r="U232" s="39" t="str">
        <x:v>Enriquecido</x:v>
      </x:c>
      <x:c r="V232" s="39" t="str">
        <x:v>Lote 2.</x:v>
      </x:c>
    </x:row>
    <x:row r="233" ht="92" customHeight="1">
      <x:c r="A233" s="39" t="str">
        <x:v>PER0232</x:v>
      </x:c>
      <x:c r="B233" s="39" t="str">
        <x:v>INV032</x:v>
      </x:c>
      <x:c r="C233" s="39" t="str">
        <x:v>Smedvig Ventures</x:v>
      </x:c>
      <x:c r="D233" s="39" t="str">
        <x:v>Peter Duffy</x:v>
      </x:c>
      <x:c r="E233" s="39" t="str">
        <x:v>Principal</x:v>
      </x:c>
      <x:c r="F233" s="39" t="str">
        <x:v>Rever</x:v>
      </x:c>
      <x:c r="G233" s="39" t="str">
        <x:v>Autoridade por confirmar</x:v>
      </x:c>
      <x:c r="H233" s="39" t="str">
        <x:v>Londres</x:v>
      </x:c>
      <x:c r="I233" s="39" t="str">
        <x:v>B2B tech; crescimento</x:v>
      </x:c>
      <x:c r="J233" s="39" t="str">
        <x:v>Late Seed; Series A; crescimento subsequente</x:v>
      </x:c>
      <x:c r="K233" s="39" t="str">
        <x:v>Smedvig desde 2018</x:v>
      </x:c>
      <x:c r="L233" s="39" t="str"/>
      <x:c r="M233" s="39" t="str"/>
      <x:c r="N233" s="39" t="str"/>
      <x:c r="O233" s="39" t="str">
        <x:v>https://smedvig.vc/people/peter-duffy/</x:v>
      </x:c>
      <x:c r="P233" s="39" t="str">
        <x:v>Abrir com uma explicação em duas frases e um problema reconhecível; perguntar onde a narrativa perde clareza.</x:v>
      </x:c>
      <x:c r="Q233" s="39" t="str">
        <x:v>Declaração pessoal: Usa a reação de alguém exterior ao negócio como sinal de clareza da oportunidade.</x:v>
      </x:c>
      <x:c r="R233" s="39" t="str">
        <x:v>https://smedvig.vc/people/peter-duffy/</x:v>
      </x:c>
      <x:c r="S233" s="44" t="str">
        <x:v>2026-09-09</x:v>
      </x:c>
      <x:c r="T233" s="39" t="str">
        <x:v>Média</x:v>
      </x:c>
      <x:c r="U233" s="39" t="str">
        <x:v>Enriquecido</x:v>
      </x:c>
      <x:c r="V233" s="39" t="str">
        <x:v>Página individual atual diz Principal; diretório do grupo ainda diz Senior Associate. Lote 2.</x:v>
      </x:c>
    </x:row>
    <x:row r="234" ht="92" customHeight="1">
      <x:c r="A234" s="39" t="str">
        <x:v>PER0233</x:v>
      </x:c>
      <x:c r="B234" s="39" t="str">
        <x:v>INV032</x:v>
      </x:c>
      <x:c r="C234" s="39" t="str">
        <x:v>Smedvig Ventures</x:v>
      </x:c>
      <x:c r="D234" s="39" t="str">
        <x:v>Freddie Kalfayan</x:v>
      </x:c>
      <x:c r="E234" s="39" t="str">
        <x:v>Principal</x:v>
      </x:c>
      <x:c r="F234" s="39" t="str">
        <x:v>Rever</x:v>
      </x:c>
      <x:c r="G234" s="39" t="str">
        <x:v>Autoridade por confirmar</x:v>
      </x:c>
      <x:c r="H234" s="39" t="str">
        <x:v>Londres</x:v>
      </x:c>
      <x:c r="I234" s="39" t="str">
        <x:v>B2B tech; founders com ideias pouco consensuais</x:v>
      </x:c>
      <x:c r="J234" s="39" t="str">
        <x:v>Late Seed; Series A; crescimento subsequente</x:v>
      </x:c>
      <x:c r="K234" s="39" t="str">
        <x:v>Consultoria estratégica; Smedvig desde 2019</x:v>
      </x:c>
      <x:c r="L234" s="39" t="str"/>
      <x:c r="M234" s="39" t="str"/>
      <x:c r="N234" s="39" t="str"/>
      <x:c r="O234" s="39" t="str">
        <x:v>https://smedvig.vc/people/freddie-kalfayan/</x:v>
      </x:c>
      <x:c r="P234" s="39" t="str">
        <x:v>Mostrar uma hipótese que contraria o mercado, a evidência disponível e o resultado que te faria abandoná-la.</x:v>
      </x:c>
      <x:c r="Q234" s="39" t="str">
        <x:v>Declaração pessoal: Interessa-se por empresas e founders fortes com uma tese pouco consensual.</x:v>
      </x:c>
      <x:c r="R234" s="39" t="str">
        <x:v>https://smedvig.vc/people/freddie-kalfayan/</x:v>
      </x:c>
      <x:c r="S234" s="44" t="str">
        <x:v>2026-09-09</x:v>
      </x:c>
      <x:c r="T234" s="39" t="str">
        <x:v>Média</x:v>
      </x:c>
      <x:c r="U234" s="39" t="str">
        <x:v>Enriquecido</x:v>
      </x:c>
      <x:c r="V234" s="39" t="str">
        <x:v>Página individual atual diz Principal; diretório do grupo ainda diz Senior Associate. Lote 2.</x:v>
      </x:c>
    </x:row>
    <x:row r="235" ht="92" customHeight="1">
      <x:c r="A235" s="39" t="str">
        <x:v>PER0234</x:v>
      </x:c>
      <x:c r="B235" s="39" t="str">
        <x:v>INV033</x:v>
      </x:c>
      <x:c r="C235" s="39" t="str">
        <x:v>Episode 1</x:v>
      </x:c>
      <x:c r="D235" s="39" t="str">
        <x:v>Hector Mason</x:v>
      </x:c>
      <x:c r="E235" s="39" t="str">
        <x:v>General Partner</x:v>
      </x:c>
      <x:c r="F235" s="39" t="str">
        <x:v>Sim</x:v>
      </x:c>
      <x:c r="G235" s="39" t="str">
        <x:v>Decisor provável</x:v>
      </x:c>
      <x:c r="H235" s="39" t="str">
        <x:v>Londres</x:v>
      </x:c>
      <x:c r="I235" s="39" t="str">
        <x:v>B2B; IA; infraestrutura</x:v>
      </x:c>
      <x:c r="J235" s="39" t="str">
        <x:v>Pre-seed; Seed; follow-on até Series A</x:v>
      </x:c>
      <x:c r="K235" s="39" t="str">
        <x:v>Founder; Onstage/Focal; coapresentador de Riding Unicorns</x:v>
      </x:c>
      <x:c r="L235" s="39" t="str"/>
      <x:c r="M235" s="39" t="str"/>
      <x:c r="N235" s="39" t="str"/>
      <x:c r="O235" s="39" t="str">
        <x:v>https://www.episode1.com/team</x:v>
      </x:c>
      <x:c r="P235" s="39" t="str">
        <x:v>Perguntar se continua a ver essa assimetria; mostrar a defensibilidade que vai além de uma interface para modelos.</x:v>
      </x:c>
      <x:c r="Q235" s="39" t="str">
        <x:v>Declaração pessoal: Em 2024, preferia infraestrutura e adoção empresarial de IA a aplicações com casos de uso superficiais.</x:v>
      </x:c>
      <x:c r="R235" s="39" t="str">
        <x:v>https://www.episode1.com/team</x:v>
      </x:c>
      <x:c r="S235" s="44" t="str">
        <x:v>2026-09-09</x:v>
      </x:c>
      <x:c r="T235" s="39" t="str">
        <x:v>Alta</x:v>
      </x:c>
      <x:c r="U235" s="39" t="str">
        <x:v>Enriquecido</x:v>
      </x:c>
      <x:c r="V235" s="39" t="str">
        <x:v>Entrevistas de 2019 e 2024 são conteúdo histórico; tese atual da entidade vem do FAQ. Lote 2.</x:v>
      </x:c>
    </x:row>
    <x:row r="236" ht="92" customHeight="1">
      <x:c r="A236" s="39" t="str">
        <x:v>PER0235</x:v>
      </x:c>
      <x:c r="B236" s="39" t="str">
        <x:v>INV033</x:v>
      </x:c>
      <x:c r="C236" s="39" t="str">
        <x:v>Episode 1</x:v>
      </x:c>
      <x:c r="D236" s="39" t="str">
        <x:v>Adam Shuaib</x:v>
      </x:c>
      <x:c r="E236" s="39" t="str">
        <x:v>General Partner</x:v>
      </x:c>
      <x:c r="F236" s="39" t="str">
        <x:v>Sim</x:v>
      </x:c>
      <x:c r="G236" s="39" t="str">
        <x:v>Decisor provável</x:v>
      </x:c>
      <x:c r="H236" s="39" t="str">
        <x:v>Londres</x:v>
      </x:c>
      <x:c r="I236" s="39" t="str">
        <x:v>IA early-stage; sourcing com algoritmos</x:v>
      </x:c>
      <x:c r="J236" s="39" t="str">
        <x:v>Pre-seed; Seed; follow-on até Series A</x:v>
      </x:c>
      <x:c r="K236" s="39" t="str">
        <x:v>Doutoramento em Cambridge</x:v>
      </x:c>
      <x:c r="L236" s="39" t="str"/>
      <x:c r="M236" s="39" t="str"/>
      <x:c r="N236" s="39" t="str"/>
      <x:c r="O236" s="39" t="str">
        <x:v>https://www.episode1.com/team</x:v>
      </x:c>
      <x:c r="P236" s="39" t="str">
        <x:v>No caso SaaS: perguntar como mede precisão fora da amostra e como evita dados desatualizados no sourcing.</x:v>
      </x:c>
      <x:c r="Q236" s="39" t="str">
        <x:v>Alegação do autor: Relata um modelo treinado em 15 mil empresas e destaca runway, experiência prévia e composição da equipa.</x:v>
      </x:c>
      <x:c r="R236" s="39" t="str">
        <x:v>https://www.episode1.com/team</x:v>
      </x:c>
      <x:c r="S236" s="44" t="str">
        <x:v>2026-09-09</x:v>
      </x:c>
      <x:c r="T236" s="39" t="str">
        <x:v>Alta</x:v>
      </x:c>
      <x:c r="U236" s="39" t="str">
        <x:v>Enriquecido</x:v>
      </x:c>
      <x:c r="V236" s="39" t="str">
        <x:v>Declarações sobre desempenho de modelos são alegações do autor, não resultados validados por nós. Lote 2.</x:v>
      </x:c>
    </x:row>
    <x:row r="237" ht="92" customHeight="1">
      <x:c r="A237" s="39" t="str">
        <x:v>PER0236</x:v>
      </x:c>
      <x:c r="B237" s="39" t="str">
        <x:v>INV033</x:v>
      </x:c>
      <x:c r="C237" s="39" t="str">
        <x:v>Episode 1</x:v>
      </x:c>
      <x:c r="D237" s="39" t="str">
        <x:v>Simon Murdoch</x:v>
      </x:c>
      <x:c r="E237" s="39" t="str">
        <x:v>General Partner</x:v>
      </x:c>
      <x:c r="F237" s="39" t="str">
        <x:v>Sim</x:v>
      </x:c>
      <x:c r="G237" s="39" t="str">
        <x:v>Decisor provável</x:v>
      </x:c>
      <x:c r="H237" s="39" t="str">
        <x:v>Londres</x:v>
      </x:c>
      <x:c r="I237" s="39" t="str">
        <x:v>Software; customer discovery</x:v>
      </x:c>
      <x:c r="J237" s="39" t="str">
        <x:v>Pre-seed; Seed; follow-on até Series A</x:v>
      </x:c>
      <x:c r="K237" s="39" t="str">
        <x:v>Fundador da Bookpages, vendida à Amazon; FriendsAbroad</x:v>
      </x:c>
      <x:c r="L237" s="39" t="str"/>
      <x:c r="M237" s="39" t="str"/>
      <x:c r="N237" s="39" t="str"/>
      <x:c r="O237" s="39" t="str">
        <x:v>https://www.episode1.com/team</x:v>
      </x:c>
      <x:c r="P237" s="39" t="str">
        <x:v>Mostrar entrevistas com compradores e testes de preço; perguntar que evidência separa interesse de intenção de compra.</x:v>
      </x:c>
      <x:c r="Q237" s="39" t="str">
        <x:v>Declaração pessoal: Usa FriendsAbroad para explicar o risco de construir algo desejado pelo founder sem procura pagante.</x:v>
      </x:c>
      <x:c r="R237" s="39" t="str">
        <x:v>https://www.episode1.com/team</x:v>
      </x:c>
      <x:c r="S237" s="44" t="str">
        <x:v>2026-09-09</x:v>
      </x:c>
      <x:c r="T237" s="39" t="str">
        <x:v>Alta</x:v>
      </x:c>
      <x:c r="U237" s="39" t="str">
        <x:v>Enriquecido</x:v>
      </x:c>
      <x:c r="V237" s="39" t="str">
        <x:v>Artigo de 2016 mantido como opinião histórica, não como critério financeiro atual. Lote 2.</x:v>
      </x:c>
    </x:row>
    <x:row r="238" ht="92" customHeight="1">
      <x:c r="A238" s="39" t="str">
        <x:v>PER0237</x:v>
      </x:c>
      <x:c r="B238" s="39" t="str">
        <x:v>INV033</x:v>
      </x:c>
      <x:c r="C238" s="39" t="str">
        <x:v>Episode 1</x:v>
      </x:c>
      <x:c r="D238" s="39" t="str">
        <x:v>Paul McNabb</x:v>
      </x:c>
      <x:c r="E238" s="39" t="str">
        <x:v>General Partner</x:v>
      </x:c>
      <x:c r="F238" s="39" t="str">
        <x:v>Sim</x:v>
      </x:c>
      <x:c r="G238" s="39" t="str">
        <x:v>Decisor provável</x:v>
      </x:c>
      <x:c r="H238" s="39" t="str">
        <x:v>Londres</x:v>
      </x:c>
      <x:c r="I238" s="39" t="str">
        <x:v>Foco pessoal não publicado; entidade: IA/infra</x:v>
      </x:c>
      <x:c r="J238" s="39" t="str">
        <x:v>Pre-seed; Seed; follow-on até Series A</x:v>
      </x:c>
      <x:c r="K238" s="39" t="str">
        <x:v>Empreendedor recorrente</x:v>
      </x:c>
      <x:c r="L238" s="39" t="str"/>
      <x:c r="M238" s="39" t="str"/>
      <x:c r="N238" s="39" t="str"/>
      <x:c r="O238" s="39" t="str">
        <x:v>https://www.episode1.com/team</x:v>
      </x:c>
      <x:c r="P238" s="39" t="str"/>
      <x:c r="Q238" s="39" t="str">
        <x:v>Enriquecimento de conteúdo ainda incompleto.</x:v>
      </x:c>
      <x:c r="R238" s="39" t="str">
        <x:v>https://www.episode1.com/team</x:v>
      </x:c>
      <x:c r="S238" s="44" t="str">
        <x:v>2026-09-09</x:v>
      </x:c>
      <x:c r="T238" s="39" t="str">
        <x:v>Alta</x:v>
      </x:c>
      <x:c r="U238" s="39" t="str">
        <x:v>Parcial</x:v>
      </x:c>
      <x:c r="V238" s="39" t="str">
        <x:v>Conteúdo próprio ainda por aprofundar. Lote 2.</x:v>
      </x:c>
    </x:row>
    <x:row r="239" ht="92" customHeight="1">
      <x:c r="A239" s="39" t="str">
        <x:v>PER0238</x:v>
      </x:c>
      <x:c r="B239" s="39" t="str">
        <x:v>INV033</x:v>
      </x:c>
      <x:c r="C239" s="39" t="str">
        <x:v>Episode 1</x:v>
      </x:c>
      <x:c r="D239" s="39" t="str">
        <x:v>Adrian Lloyd</x:v>
      </x:c>
      <x:c r="E239" s="39" t="str">
        <x:v>General Partner</x:v>
      </x:c>
      <x:c r="F239" s="39" t="str">
        <x:v>Sim</x:v>
      </x:c>
      <x:c r="G239" s="39" t="str">
        <x:v>Decisor provável</x:v>
      </x:c>
      <x:c r="H239" s="39" t="str">
        <x:v>Londres</x:v>
      </x:c>
      <x:c r="I239" s="39" t="str">
        <x:v>B2B software; eficiência; execução</x:v>
      </x:c>
      <x:c r="J239" s="39" t="str">
        <x:v>Pre-seed; Seed; follow-on até Series A</x:v>
      </x:c>
      <x:c r="K239" s="39" t="str">
        <x:v>Marakon Associates na China; Stanford MBA; startups</x:v>
      </x:c>
      <x:c r="L239" s="39" t="str"/>
      <x:c r="M239" s="39" t="str"/>
      <x:c r="N239" s="39" t="str"/>
      <x:c r="O239" s="39" t="str">
        <x:v>https://www.episode1.com/team</x:v>
      </x:c>
      <x:c r="P239" s="39" t="str">
        <x:v>Explicar por que esta equipa escolheu este problema e qual vantagem concreta decorre do trabalho anterior.</x:v>
      </x:c>
      <x:c r="Q239" s="39" t="str">
        <x:v>Declaração pessoal: Procura founders fortes que escolhem construir e valoriza experiência operacional.</x:v>
      </x:c>
      <x:c r="R239" s="39" t="str">
        <x:v>https://www.episode1.com/team</x:v>
      </x:c>
      <x:c r="S239" s="44" t="str">
        <x:v>2026-09-09</x:v>
      </x:c>
      <x:c r="T239" s="39" t="str">
        <x:v>Alta</x:v>
      </x:c>
      <x:c r="U239" s="39" t="str">
        <x:v>Enriquecido</x:v>
      </x:c>
      <x:c r="V239" s="39" t="str">
        <x:v>Fluência em mandarim e percurso na China descritos na entrevista de 2021. Lote 2.</x:v>
      </x:c>
    </x:row>
    <x:row r="240" ht="92" customHeight="1">
      <x:c r="A240" s="39" t="str">
        <x:v>PER0239</x:v>
      </x:c>
      <x:c r="B240" s="39" t="str">
        <x:v>INV033</x:v>
      </x:c>
      <x:c r="C240" s="39" t="str">
        <x:v>Episode 1</x:v>
      </x:c>
      <x:c r="D240" s="39" t="str">
        <x:v>Millan Suri</x:v>
      </x:c>
      <x:c r="E240" s="39" t="str">
        <x:v>Principal</x:v>
      </x:c>
      <x:c r="F240" s="39" t="str">
        <x:v>Rever</x:v>
      </x:c>
      <x:c r="G240" s="39" t="str">
        <x:v>Autoridade por confirmar</x:v>
      </x:c>
      <x:c r="H240" s="39" t="str">
        <x:v>Londres</x:v>
      </x:c>
      <x:c r="I240" s="39" t="str">
        <x:v>Founders e oportunidades pouco consensuais</x:v>
      </x:c>
      <x:c r="J240" s="39" t="str">
        <x:v>Pre-seed; Seed; follow-on até Series A</x:v>
      </x:c>
      <x:c r="K240" s="39" t="str"/>
      <x:c r="L240" s="39" t="str"/>
      <x:c r="M240" s="39" t="str"/>
      <x:c r="N240" s="39" t="str"/>
      <x:c r="O240" s="39" t="str">
        <x:v>https://www.episode1.com/team</x:v>
      </x:c>
      <x:c r="P240" s="39" t="str"/>
      <x:c r="Q240" s="39" t="str">
        <x:v>Enriquecimento de conteúdo ainda incompleto.</x:v>
      </x:c>
      <x:c r="R240" s="39" t="str">
        <x:v>https://www.episode1.com/team</x:v>
      </x:c>
      <x:c r="S240" s="44" t="str">
        <x:v>2026-09-09</x:v>
      </x:c>
      <x:c r="T240" s="39" t="str">
        <x:v>Média</x:v>
      </x:c>
      <x:c r="U240" s="39" t="str">
        <x:v>Parcial</x:v>
      </x:c>
      <x:c r="V240" s="39" t="str">
        <x:v>Poder final no comité e percurso anterior não confirmados. Lote 2.</x:v>
      </x:c>
    </x:row>
    <x:row r="241" ht="92" customHeight="1">
      <x:c r="A241" s="39" t="str">
        <x:v>PER0240</x:v>
      </x:c>
      <x:c r="B241" s="39" t="str">
        <x:v>INV033</x:v>
      </x:c>
      <x:c r="C241" s="39" t="str">
        <x:v>Episode 1</x:v>
      </x:c>
      <x:c r="D241" s="39" t="str">
        <x:v>Nuan Zhang</x:v>
      </x:c>
      <x:c r="E241" s="39" t="str">
        <x:v>Investor</x:v>
      </x:c>
      <x:c r="F241" s="39" t="str">
        <x:v>Rever</x:v>
      </x:c>
      <x:c r="G241" s="39" t="str">
        <x:v>Autoridade por confirmar</x:v>
      </x:c>
      <x:c r="H241" s="39" t="str">
        <x:v>Londres</x:v>
      </x:c>
      <x:c r="I241" s="39" t="str">
        <x:v>Foco pessoal não publicado</x:v>
      </x:c>
      <x:c r="J241" s="39" t="str">
        <x:v>Pre-seed; Seed; follow-on até Series A</x:v>
      </x:c>
      <x:c r="K241" s="39" t="str">
        <x:v>Consultoria; experiência de founder</x:v>
      </x:c>
      <x:c r="L241" s="39" t="str"/>
      <x:c r="M241" s="39" t="str"/>
      <x:c r="N241" s="39" t="str"/>
      <x:c r="O241" s="39" t="str">
        <x:v>https://www.episode1.com/team</x:v>
      </x:c>
      <x:c r="P241" s="39" t="str"/>
      <x:c r="Q241" s="39" t="str">
        <x:v>Enriquecimento de conteúdo ainda incompleto.</x:v>
      </x:c>
      <x:c r="R241" s="39" t="str">
        <x:v>https://www.episode1.com/team</x:v>
      </x:c>
      <x:c r="S241" s="44" t="str">
        <x:v>2026-09-09</x:v>
      </x:c>
      <x:c r="T241" s="39" t="str">
        <x:v>Média</x:v>
      </x:c>
      <x:c r="U241" s="39" t="str">
        <x:v>Parcial</x:v>
      </x:c>
      <x:c r="V241" s="39" t="str">
        <x:v>Poder final de decisão não publicado. Lote 2.</x:v>
      </x:c>
    </x:row>
    <x:row r="242" ht="92" customHeight="1">
      <x:c r="A242" s="39" t="str">
        <x:v>PER0241</x:v>
      </x:c>
      <x:c r="B242" s="39" t="str">
        <x:v>INV034</x:v>
      </x:c>
      <x:c r="C242" s="39" t="str">
        <x:v>Concept Ventures</x:v>
      </x:c>
      <x:c r="D242" s="39" t="str">
        <x:v>Reece Chowdhry</x:v>
      </x:c>
      <x:c r="E242" s="39" t="str">
        <x:v>General Partner</x:v>
      </x:c>
      <x:c r="F242" s="39" t="str">
        <x:v>Sim</x:v>
      </x:c>
      <x:c r="G242" s="39" t="str">
        <x:v>Decisor provável</x:v>
      </x:c>
      <x:c r="H242" s="39" t="str">
        <x:v>Londres</x:v>
      </x:c>
      <x:c r="I242" s="39" t="str">
        <x:v>Generalista; pre-seed; founders</x:v>
      </x:c>
      <x:c r="J242" s="39" t="str">
        <x:v>Pre-seed; follow-on</x:v>
      </x:c>
      <x:c r="K242" s="39" t="str">
        <x:v>EY; incubação e operação de três startups de software</x:v>
      </x:c>
      <x:c r="L242" s="39" t="str"/>
      <x:c r="M242" s="39" t="str"/>
      <x:c r="N242" s="39" t="str"/>
      <x:c r="O242" s="39" t="str">
        <x:v>https://concept.vc/team-members/reece-chowdhry</x:v>
      </x:c>
      <x:c r="P242" s="39" t="str">
        <x:v>Apresentar uma decisão difícil tomada pela equipa e a mudança de comportamento que dela resultou.</x:v>
      </x:c>
      <x:c r="Q242" s="39" t="str">
        <x:v>Perfil institucional: Liga experiências de sucesso e insucesso em startups à importância das pessoas na construção da empresa.</x:v>
      </x:c>
      <x:c r="R242" s="39" t="str">
        <x:v>https://concept.vc/team-members/reece-chowdhry</x:v>
      </x:c>
      <x:c r="S242" s="44" t="str">
        <x:v>2026-09-09</x:v>
      </x:c>
      <x:c r="T242" s="39" t="str">
        <x:v>Alta</x:v>
      </x:c>
      <x:c r="U242" s="39" t="str">
        <x:v>Enriquecido</x:v>
      </x:c>
      <x:c r="V242" s="39" t="str">
        <x:v>Lote 2.</x:v>
      </x:c>
    </x:row>
    <x:row r="243" ht="92" customHeight="1">
      <x:c r="A243" s="39" t="str">
        <x:v>PER0242</x:v>
      </x:c>
      <x:c r="B243" s="39" t="str">
        <x:v>INV034</x:v>
      </x:c>
      <x:c r="C243" s="39" t="str">
        <x:v>Concept Ventures</x:v>
      </x:c>
      <x:c r="D243" s="39" t="str">
        <x:v>Oliver Kicks</x:v>
      </x:c>
      <x:c r="E243" s="39" t="str">
        <x:v>General Partner</x:v>
      </x:c>
      <x:c r="F243" s="39" t="str">
        <x:v>Sim</x:v>
      </x:c>
      <x:c r="G243" s="39" t="str">
        <x:v>Decisor provável</x:v>
      </x:c>
      <x:c r="H243" s="39" t="str">
        <x:v>Londres</x:v>
      </x:c>
      <x:c r="I243" s="39" t="str">
        <x:v>Pre-seed; GTM; apoio operacional</x:v>
      </x:c>
      <x:c r="J243" s="39" t="str">
        <x:v>Pre-seed; follow-on</x:v>
      </x:c>
      <x:c r="K243" s="39" t="str">
        <x:v>Fintech; construção de marca foodtech</x:v>
      </x:c>
      <x:c r="L243" s="39" t="str"/>
      <x:c r="M243" s="39" t="str"/>
      <x:c r="N243" s="39" t="str"/>
      <x:c r="O243" s="39" t="str">
        <x:v>https://concept.vc/team-members/oliver-kicks</x:v>
      </x:c>
      <x:c r="P243" s="39" t="str">
        <x:v>Levar a primeira contratação sénior em análise e explicar o problema que deve resolver antes da próxima ronda.</x:v>
      </x:c>
      <x:c r="Q243" s="39" t="str">
        <x:v>Perfil institucional: Trabalha com founders em contratações iniciais, fundraising e estratégia de produto e GTM.</x:v>
      </x:c>
      <x:c r="R243" s="39" t="str">
        <x:v>https://concept.vc/team-members/oliver-kicks</x:v>
      </x:c>
      <x:c r="S243" s="44" t="str">
        <x:v>2026-09-09</x:v>
      </x:c>
      <x:c r="T243" s="39" t="str">
        <x:v>Alta</x:v>
      </x:c>
      <x:c r="U243" s="39" t="str">
        <x:v>Enriquecido</x:v>
      </x:c>
      <x:c r="V243" s="39" t="str">
        <x:v>Lote 2.</x:v>
      </x:c>
    </x:row>
    <x:row r="244" ht="92" customHeight="1">
      <x:c r="A244" s="39" t="str">
        <x:v>PER0243</x:v>
      </x:c>
      <x:c r="B244" s="39" t="str">
        <x:v>INV034</x:v>
      </x:c>
      <x:c r="C244" s="39" t="str">
        <x:v>Concept Ventures</x:v>
      </x:c>
      <x:c r="D244" s="39" t="str">
        <x:v>Jeff Chowdhry</x:v>
      </x:c>
      <x:c r="E244" s="39" t="str">
        <x:v>General Partner</x:v>
      </x:c>
      <x:c r="F244" s="39" t="str">
        <x:v>Sim</x:v>
      </x:c>
      <x:c r="G244" s="39" t="str">
        <x:v>Decisor provável</x:v>
      </x:c>
      <x:c r="H244" s="39" t="str">
        <x:v>Londres</x:v>
      </x:c>
      <x:c r="I244" s="39" t="str">
        <x:v>Serviços financeiros; follow-on</x:v>
      </x:c>
      <x:c r="J244" s="39" t="str">
        <x:v>Pre-seed; follow-on</x:v>
      </x:c>
      <x:c r="K244" s="39" t="str">
        <x:v>Gestão institucional de ativos; investimento angel</x:v>
      </x:c>
      <x:c r="L244" s="39" t="str"/>
      <x:c r="M244" s="39" t="str"/>
      <x:c r="N244" s="39" t="str"/>
      <x:c r="O244" s="39" t="str">
        <x:v>https://concept.vc/team-members/jeff-chowdhry</x:v>
      </x:c>
      <x:c r="P244" s="39" t="str">
        <x:v>No caso SaaS para investidores: definir o comprador, o orçamento e o marco comercial que justificará o cheque seguinte.</x:v>
      </x:c>
      <x:c r="Q244" s="39" t="str">
        <x:v>Perfil institucional: Lidera investimentos em serviços financeiros e avaliação de follow-on.</x:v>
      </x:c>
      <x:c r="R244" s="39" t="str">
        <x:v>https://concept.vc/team-members/jeff-chowdhry</x:v>
      </x:c>
      <x:c r="S244" s="44" t="str">
        <x:v>2026-09-09</x:v>
      </x:c>
      <x:c r="T244" s="39" t="str">
        <x:v>Alta</x:v>
      </x:c>
      <x:c r="U244" s="39" t="str">
        <x:v>Enriquecido</x:v>
      </x:c>
      <x:c r="V244" s="39" t="str">
        <x:v>Lote 2.</x:v>
      </x:c>
    </x:row>
    <x:row r="245" ht="92" customHeight="1">
      <x:c r="A245" s="39" t="str">
        <x:v>PER0244</x:v>
      </x:c>
      <x:c r="B245" s="39" t="str">
        <x:v>INV034</x:v>
      </x:c>
      <x:c r="C245" s="39" t="str">
        <x:v>Concept Ventures</x:v>
      </x:c>
      <x:c r="D245" s="39" t="str">
        <x:v>Hugo Hazon</x:v>
      </x:c>
      <x:c r="E245" s="39" t="str">
        <x:v>Principal</x:v>
      </x:c>
      <x:c r="F245" s="39" t="str">
        <x:v>Rever</x:v>
      </x:c>
      <x:c r="G245" s="39" t="str">
        <x:v>Autoridade por confirmar</x:v>
      </x:c>
      <x:c r="H245" s="39" t="str">
        <x:v>Londres</x:v>
      </x:c>
      <x:c r="I245" s="39" t="str">
        <x:v>B2B enterprise; oportunidades técnicas</x:v>
      </x:c>
      <x:c r="J245" s="39" t="str">
        <x:v>Pre-seed; follow-on</x:v>
      </x:c>
      <x:c r="K245" s="39" t="str">
        <x:v>Illuminate Financial; jogador profissional de voleibol</x:v>
      </x:c>
      <x:c r="L245" s="39" t="str"/>
      <x:c r="M245" s="39" t="str"/>
      <x:c r="N245" s="39" t="str"/>
      <x:c r="O245" s="39" t="str">
        <x:v>https://concept.vc/team-members/hugo-hazon</x:v>
      </x:c>
      <x:c r="P245" s="39" t="str">
        <x:v>Mostrar a integração com a infraestrutura do cliente e qual prova técnica reduz o risco da adoção.</x:v>
      </x:c>
      <x:c r="Q245" s="39" t="str">
        <x:v>Perfil institucional: O percurso na Illuminate inclui B2B enterprise; participa na avaliação de oportunidades técnicas.</x:v>
      </x:c>
      <x:c r="R245" s="39" t="str">
        <x:v>https://concept.vc/team-members/hugo-hazon</x:v>
      </x:c>
      <x:c r="S245" s="44" t="str">
        <x:v>2026-09-09</x:v>
      </x:c>
      <x:c r="T245" s="39" t="str">
        <x:v>Média</x:v>
      </x:c>
      <x:c r="U245" s="39" t="str">
        <x:v>Enriquecido</x:v>
      </x:c>
      <x:c r="V245" s="39" t="str">
        <x:v>Lote 2.</x:v>
      </x:c>
    </x:row>
    <x:row r="246" ht="92" customHeight="1">
      <x:c r="A246" s="39" t="str">
        <x:v>PER0245</x:v>
      </x:c>
      <x:c r="B246" s="39" t="str">
        <x:v>INV034</x:v>
      </x:c>
      <x:c r="C246" s="39" t="str">
        <x:v>Concept Ventures</x:v>
      </x:c>
      <x:c r="D246" s="39" t="str">
        <x:v>Anrea Munsamy</x:v>
      </x:c>
      <x:c r="E246" s="39" t="str">
        <x:v>Associate — operações e apoio ao portfólio</x:v>
      </x:c>
      <x:c r="F246" s="39" t="str">
        <x:v>Não</x:v>
      </x:c>
      <x:c r="G246" s="39" t="str">
        <x:v>Apoio / comunidade</x:v>
      </x:c>
      <x:c r="H246" s="39" t="str">
        <x:v>Londres</x:v>
      </x:c>
      <x:c r="I246" s="39" t="str">
        <x:v>Operações; Venture Pledge; apoio a founders</x:v>
      </x:c>
      <x:c r="J246" s="39" t="str">
        <x:v>Pre-seed; follow-on</x:v>
      </x:c>
      <x:c r="K246" s="39" t="str">
        <x:v>Recursos humanos; contabilidade; marketing</x:v>
      </x:c>
      <x:c r="L246" s="39" t="str"/>
      <x:c r="M246" s="39" t="str"/>
      <x:c r="N246" s="39" t="str"/>
      <x:c r="O246" s="39" t="str">
        <x:v>https://concept.vc/team-members/anrea</x:v>
      </x:c>
      <x:c r="P246" s="39" t="str">
        <x:v>Para uma empresa já próxima do fundo, perguntar como funciona o apoio operacional ou a participação dos founders no Venture Pledge.</x:v>
      </x:c>
      <x:c r="Q246" s="39" t="str">
        <x:v>Perfil institucional: Coordena operações e apoio ao portfólio e promove o Venture Pledge.</x:v>
      </x:c>
      <x:c r="R246" s="39" t="str">
        <x:v>https://concept.vc/team-members/anrea</x:v>
      </x:c>
      <x:c r="S246" s="44" t="str">
        <x:v>2026-09-09</x:v>
      </x:c>
      <x:c r="T246" s="39" t="str">
        <x:v>Alta</x:v>
      </x:c>
      <x:c r="U246" s="39" t="str">
        <x:v>Enriquecido</x:v>
      </x:c>
      <x:c r="V246" s="39" t="str">
        <x:v>Perfil aprofundado de apoio. O título Associate não é tratado como função de investimento. Lote 2.</x:v>
      </x:c>
    </x:row>
    <x:row r="247" ht="92" customHeight="1">
      <x:c r="A247" s="39" t="str">
        <x:v>PER0246</x:v>
      </x:c>
      <x:c r="B247" s="39" t="str">
        <x:v>INV034</x:v>
      </x:c>
      <x:c r="C247" s="39" t="str">
        <x:v>Concept Ventures</x:v>
      </x:c>
      <x:c r="D247" s="39" t="str">
        <x:v>Kudei Sawyer Moses</x:v>
      </x:c>
      <x:c r="E247" s="39" t="str">
        <x:v>Associate — comunidade e relações com investidores</x:v>
      </x:c>
      <x:c r="F247" s="39" t="str">
        <x:v>Não</x:v>
      </x:c>
      <x:c r="G247" s="39" t="str">
        <x:v>Apoio / comunidade</x:v>
      </x:c>
      <x:c r="H247" s="39" t="str">
        <x:v>Londres</x:v>
      </x:c>
      <x:c r="I247" s="39" t="str">
        <x:v>Comunidade; marketing; LP communications</x:v>
      </x:c>
      <x:c r="J247" s="39" t="str">
        <x:v>Pre-seed; follow-on</x:v>
      </x:c>
      <x:c r="K247" s="39" t="str">
        <x:v>Sony Music; estágio na Atomico</x:v>
      </x:c>
      <x:c r="L247" s="39" t="str"/>
      <x:c r="M247" s="39" t="str"/>
      <x:c r="N247" s="39" t="str"/>
      <x:c r="O247" s="39" t="str">
        <x:v>https://concept.vc/team-members/kudei-sawyer-moses</x:v>
      </x:c>
      <x:c r="P247" s="39" t="str">
        <x:v>Propor participação num evento com um exemplo útil para outros founders, ou perguntar que formatos a comunidade procura.</x:v>
      </x:c>
      <x:c r="Q247" s="39" t="str">
        <x:v>Perfil institucional: Organiza a comunidade, eventos e comunicação com os investidores do fundo.</x:v>
      </x:c>
      <x:c r="R247" s="39" t="str">
        <x:v>https://concept.vc/team-members/kudei-sawyer-moses</x:v>
      </x:c>
      <x:c r="S247" s="44" t="str">
        <x:v>2026-09-09</x:v>
      </x:c>
      <x:c r="T247" s="39" t="str">
        <x:v>Alta</x:v>
      </x:c>
      <x:c r="U247" s="39" t="str">
        <x:v>Enriquecido</x:v>
      </x:c>
      <x:c r="V247" s="39" t="str">
        <x:v>Contacto útil para comunidade/eventos, sem autoridade de investimento confirmada. Lote 2.</x:v>
      </x:c>
    </x:row>
    <x:row r="248" ht="92" customHeight="1">
      <x:c r="A248" s="39" t="str">
        <x:v>PER0247</x:v>
      </x:c>
      <x:c r="B248" s="39" t="str">
        <x:v>INV035</x:v>
      </x:c>
      <x:c r="C248" s="39" t="str">
        <x:v>Empirical Ventures</x:v>
      </x:c>
      <x:c r="D248" s="39" t="str">
        <x:v>Ben Miles</x:v>
      </x:c>
      <x:c r="E248" s="39" t="str">
        <x:v>General Partner</x:v>
      </x:c>
      <x:c r="F248" s="39" t="str">
        <x:v>Sim</x:v>
      </x:c>
      <x:c r="G248" s="39" t="str">
        <x:v>Decisor provável</x:v>
      </x:c>
      <x:c r="H248" s="39" t="str">
        <x:v>Londres</x:v>
      </x:c>
      <x:c r="I248" s="39" t="str">
        <x:v>Deeptech; ciência; venture building</x:v>
      </x:c>
      <x:c r="J248" s="39" t="str">
        <x:v>Pre-seed; Seed; venture studio</x:v>
      </x:c>
      <x:c r="K248" s="39" t="str">
        <x:v>Físico; Ziylo; Spin Up Science</x:v>
      </x:c>
      <x:c r="L248" s="39" t="str"/>
      <x:c r="M248" s="39" t="str"/>
      <x:c r="N248" s="39" t="str"/>
      <x:c r="O248" s="39" t="str">
        <x:v>https://www.empiricalventures.vc/team</x:v>
      </x:c>
      <x:c r="P248" s="39" t="str">
        <x:v>Mostrar o custo final pretendido e o percurso de engenharia necessário para o atingir; perguntar qual hipótese testar primeiro.</x:v>
      </x:c>
      <x:c r="Q248" s="39" t="str">
        <x:v>Declaração pessoal: Defende começar pelo custo-alvo da solução e desenhar a tecnologia a partir desse objetivo comercial.</x:v>
      </x:c>
      <x:c r="R248" s="39" t="str">
        <x:v>https://www.empiricalventures.vc/team</x:v>
      </x:c>
      <x:c r="S248" s="44" t="str">
        <x:v>2026-09-09</x:v>
      </x:c>
      <x:c r="T248" s="39" t="str">
        <x:v>Alta</x:v>
      </x:c>
      <x:c r="U248" s="39" t="str">
        <x:v>Enriquecido</x:v>
      </x:c>
      <x:c r="V248" s="39" t="str">
        <x:v>Também tem plataforma pública de divulgação científica. Lote 2.</x:v>
      </x:c>
    </x:row>
    <x:row r="249" ht="92" customHeight="1">
      <x:c r="A249" s="39" t="str">
        <x:v>PER0248</x:v>
      </x:c>
      <x:c r="B249" s="39" t="str">
        <x:v>INV035</x:v>
      </x:c>
      <x:c r="C249" s="39" t="str">
        <x:v>Empirical Ventures</x:v>
      </x:c>
      <x:c r="D249" s="39" t="str">
        <x:v>Johnathan Matlock</x:v>
      </x:c>
      <x:c r="E249" s="39" t="str">
        <x:v>General Partner</x:v>
      </x:c>
      <x:c r="F249" s="39" t="str">
        <x:v>Sim</x:v>
      </x:c>
      <x:c r="G249" s="39" t="str">
        <x:v>Decisor provável</x:v>
      </x:c>
      <x:c r="H249" s="39" t="str">
        <x:v>Londres</x:v>
      </x:c>
      <x:c r="I249" s="39" t="str">
        <x:v>Deeptech; diligência científica</x:v>
      </x:c>
      <x:c r="J249" s="39" t="str">
        <x:v>Pre-seed; Seed; venture studio</x:v>
      </x:c>
      <x:c r="K249" s="39" t="str">
        <x:v>Químico; Ziylo; investimento angel</x:v>
      </x:c>
      <x:c r="L249" s="39" t="str"/>
      <x:c r="M249" s="39" t="str"/>
      <x:c r="N249" s="39" t="str"/>
      <x:c r="O249" s="39" t="str">
        <x:v>https://www.empiricalventures.vc/team</x:v>
      </x:c>
      <x:c r="P249" s="39" t="str">
        <x:v>Se ainda não há empresa, apresentar IP, equipa e trabalho por fazer na transferência tecnológica.</x:v>
      </x:c>
      <x:c r="Q249" s="39" t="str">
        <x:v>Declaração pessoal: Defende combinar investigação e engenharia para transformar ciência em empresas, incluindo através do studio.</x:v>
      </x:c>
      <x:c r="R249" s="39" t="str">
        <x:v>https://www.empiricalventures.vc/team</x:v>
      </x:c>
      <x:c r="S249" s="44" t="str">
        <x:v>2026-09-09</x:v>
      </x:c>
      <x:c r="T249" s="39" t="str">
        <x:v>Alta</x:v>
      </x:c>
      <x:c r="U249" s="39" t="str">
        <x:v>Enriquecido</x:v>
      </x:c>
      <x:c r="V249" s="39" t="str">
        <x:v>Lote 2.</x:v>
      </x:c>
    </x:row>
  </x:sheetData>
  <x:conditionalFormatting sqref="F2:F249">
    <x:cfRule type="containsText" dxfId="2" priority="1" operator="containsText" text="Sim"/>
  </x:conditionalFormatting>
  <x:conditionalFormatting sqref="U2:U249">
    <x:cfRule type="containsText" dxfId="3" priority="2" operator="containsText" text="Enriquecido"/>
    <x:cfRule type="containsText" dxfId="4" priority="3" operator="containsText" text="Base"/>
  </x:conditionalFormatting>
  <x:pageMargins left="0.7" right="0.7" top="0.75" bottom="0.75" header="0.3" footer="0.3"/>
  <x:tableParts count="1">
    <x:tablePart xmlns:r="http://schemas.openxmlformats.org/officeDocument/2006/relationships" r:id="R588a7932f1774a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24" hidden="0" customWidth="1"/>
    <x:col min="5" max="5" width="24" hidden="0" customWidth="1"/>
    <x:col min="6" max="6" width="22" hidden="0" customWidth="1"/>
    <x:col min="7" max="7" width="44" hidden="0" customWidth="1"/>
    <x:col min="8" max="8" width="16" hidden="0" customWidth="1"/>
    <x:col min="9" max="9" width="26" hidden="0" customWidth="1"/>
    <x:col min="10" max="10" width="58" hidden="0" customWidth="1"/>
    <x:col min="11" max="11" width="62" hidden="0" customWidth="1"/>
    <x:col min="12" max="12" width="55" hidden="0" customWidth="1"/>
    <x:col min="13" max="13" width="18" hidden="0" customWidth="1"/>
    <x:col min="14" max="14" width="12" hidden="0" customWidth="1"/>
    <x:col min="15" max="15" width="20" hidden="0" customWidth="1"/>
    <x:col min="16" max="16" width="16" hidden="0" customWidth="1"/>
    <x:col min="17" max="17" width="48" hidden="0" customWidth="1"/>
  </x:cols>
  <x:sheetData>
    <x:row r="1" ht="34" customHeight="1">
      <x:c r="A1" s="42" t="str">
        <x:v>ID_Hook</x:v>
      </x:c>
      <x:c r="B1" s="42" t="str">
        <x:v>ID_Investidor</x:v>
      </x:c>
      <x:c r="C1" s="42" t="str">
        <x:v>ID_Pessoa</x:v>
      </x:c>
      <x:c r="D1" s="42" t="str">
        <x:v>Investidor</x:v>
      </x:c>
      <x:c r="E1" s="42" t="str">
        <x:v>Pessoa</x:v>
      </x:c>
      <x:c r="F1" s="42" t="str">
        <x:v>Tipo_Conteúdo</x:v>
      </x:c>
      <x:c r="G1" s="42" t="str">
        <x:v>Título</x:v>
      </x:c>
      <x:c r="H1" s="42" t="str">
        <x:v>Data_Publicação</x:v>
      </x:c>
      <x:c r="I1" s="42" t="str">
        <x:v>Tema</x:v>
      </x:c>
      <x:c r="J1" s="42" t="str">
        <x:v>Ponto_de_Vista</x:v>
      </x:c>
      <x:c r="K1" s="42" t="str">
        <x:v>Hook_Sugerido</x:v>
      </x:c>
      <x:c r="L1" s="42" t="str">
        <x:v>URL_Fonte</x:v>
      </x:c>
      <x:c r="M1" s="42" t="str">
        <x:v>Estado_Verificação</x:v>
      </x:c>
      <x:c r="N1" s="42" t="str">
        <x:v>Confiança</x:v>
      </x:c>
      <x:c r="O1" s="42" t="str">
        <x:v>Adequação_Outreach</x:v>
      </x:c>
      <x:c r="P1" s="42" t="str">
        <x:v>Sensibilidade</x:v>
      </x:c>
      <x:c r="Q1" s="42" t="str">
        <x:v>Nota_de_Uso</x:v>
      </x:c>
    </x:row>
    <x:row r="2" ht="40" customHeight="1">
      <x:c r="A2" s="39" t="str">
        <x:v>HOK0001</x:v>
      </x:c>
      <x:c r="B2" s="39" t="str">
        <x:v>INV001</x:v>
      </x:c>
      <x:c r="C2" s="39" t="str">
        <x:v>PER0001</x:v>
      </x:c>
      <x:c r="D2" s="39" t="str">
        <x:v>Point Nine</x:v>
      </x:c>
      <x:c r="E2" s="39" t="str">
        <x:v>Christoph Janz</x:v>
      </x:c>
      <x:c r="F2" s="39" t="str">
        <x:v>Artigo</x:v>
      </x:c>
      <x:c r="G2" s="39" t="str">
        <x:v>The P9 Guide to Cohort Analysis in SaaS</x:v>
      </x:c>
      <x:c r="H2" s="39" t="str">
        <x:v>2023-06-18</x:v>
      </x:c>
      <x:c r="I2" s="39" t="str">
        <x:v>SaaS metrics</x:v>
      </x:c>
      <x:c r="J2" s="39" t="str">
        <x:v>Defende análise de cohorts para perceber retenção e qualidade do crescimento.</x:v>
      </x:c>
      <x:c r="K2" s="39" t="str">
        <x:v>Partilhar a tua cohort principal e pedir-lhe opinião sobre o padrão de retenção.</x:v>
      </x:c>
      <x:c r="L2" s="39" t="str">
        <x:v>https://writing.pointnine.com/p/the-p9-guide-to-cohort-analysis-in</x:v>
      </x:c>
      <x:c r="M2" s="39" t="str">
        <x:v>Verificado</x:v>
      </x:c>
      <x:c r="N2" s="39" t="str">
        <x:v>Alta</x:v>
      </x:c>
      <x:c r="O2" s="39" t="str">
        <x:v>Alta</x:v>
      </x:c>
      <x:c r="P2" s="39" t="str">
        <x:v>Baixa</x:v>
      </x:c>
      <x:c r="Q2" s="39" t="str">
        <x:v>Referir a ideia ou conteúdo de forma concreta; não simular intimidade.</x:v>
      </x:c>
    </x:row>
    <x:row r="3" ht="40" customHeight="1">
      <x:c r="A3" s="39" t="str">
        <x:v>HOK0002</x:v>
      </x:c>
      <x:c r="B3" s="39" t="str">
        <x:v>INV001</x:v>
      </x:c>
      <x:c r="C3" s="39" t="str">
        <x:v>PER0001</x:v>
      </x:c>
      <x:c r="D3" s="39" t="str">
        <x:v>Point Nine</x:v>
      </x:c>
      <x:c r="E3" s="39" t="str">
        <x:v>Christoph Janz</x:v>
      </x:c>
      <x:c r="F3" s="39" t="str">
        <x:v>Artigo</x:v>
      </x:c>
      <x:c r="G3" s="39" t="str">
        <x:v>Will AI accelerate vertical SaaS?</x:v>
      </x:c>
      <x:c r="H3" s="39" t="str">
        <x:v>2023-09-07</x:v>
      </x:c>
      <x:c r="I3" s="39" t="str">
        <x:v>AI; vertical SaaS</x:v>
      </x:c>
      <x:c r="J3" s="39" t="str">
        <x:v>Explora se a IA aumenta velocidade e vantagem em software vertical.</x:v>
      </x:c>
      <x:c r="K3" s="39" t="str">
        <x:v>Explicar onde a IA altera a economia da categoria, não apenas uma feature.</x:v>
      </x:c>
      <x:c r="L3" s="39" t="str">
        <x:v>https://writing.pointnine.com/p/will-ai-accelerate-vertical-saas</x:v>
      </x:c>
      <x:c r="M3" s="39" t="str">
        <x:v>Verificado</x:v>
      </x:c>
      <x:c r="N3" s="39" t="str">
        <x:v>Alta</x:v>
      </x:c>
      <x:c r="O3" s="39" t="str">
        <x:v>Alta</x:v>
      </x:c>
      <x:c r="P3" s="39" t="str">
        <x:v>Baixa</x:v>
      </x:c>
      <x:c r="Q3" s="39" t="str">
        <x:v>Referir a ideia ou conteúdo de forma concreta; não simular intimidade.</x:v>
      </x:c>
    </x:row>
    <x:row r="4" ht="40" customHeight="1">
      <x:c r="A4" s="39" t="str">
        <x:v>HOK0003</x:v>
      </x:c>
      <x:c r="B4" s="39" t="str">
        <x:v>INV002</x:v>
      </x:c>
      <x:c r="C4" s="39" t="str">
        <x:v>PER0006</x:v>
      </x:c>
      <x:c r="D4" s="39" t="str">
        <x:v>Seedcamp</x:v>
      </x:c>
      <x:c r="E4" s="39" t="str">
        <x:v>Carlos Eduardo Espinal</x:v>
      </x:c>
      <x:c r="F4" s="39" t="str">
        <x:v>Livro / Podcast</x:v>
      </x:c>
      <x:c r="G4" s="39" t="str">
        <x:v>The Fundraising Field Guide</x:v>
      </x:c>
      <x:c r="H4" s="39" t="str"/>
      <x:c r="I4" s="39" t="str">
        <x:v>Fundraising</x:v>
      </x:c>
      <x:c r="J4" s="39" t="str">
        <x:v>Trata fundraising como processo estruturado e relacional.</x:v>
      </x:c>
      <x:c r="K4" s="39" t="str">
        <x:v>Referir uma decisão concreta tomada com base no guia e apresentar a ronda com clareza.</x:v>
      </x:c>
      <x:c r="L4" s="39" t="str">
        <x:v>https://seedcamp.com/people/carlos-eduardo-espinal/</x:v>
      </x:c>
      <x:c r="M4" s="39" t="str">
        <x:v>Verificado</x:v>
      </x:c>
      <x:c r="N4" s="39" t="str">
        <x:v>Alta</x:v>
      </x:c>
      <x:c r="O4" s="39" t="str">
        <x:v>Alta</x:v>
      </x:c>
      <x:c r="P4" s="39" t="str">
        <x:v>Baixa</x:v>
      </x:c>
      <x:c r="Q4" s="39" t="str">
        <x:v>Referir a ideia ou conteúdo de forma concreta; não simular intimidade.</x:v>
      </x:c>
    </x:row>
    <x:row r="5" ht="40" customHeight="1">
      <x:c r="A5" s="39" t="str">
        <x:v>HOK0004</x:v>
      </x:c>
      <x:c r="B5" s="39" t="str">
        <x:v>INV002</x:v>
      </x:c>
      <x:c r="C5" s="39" t="str">
        <x:v>PER0005</x:v>
      </x:c>
      <x:c r="D5" s="39" t="str">
        <x:v>Seedcamp</x:v>
      </x:c>
      <x:c r="E5" s="39" t="str">
        <x:v>Reshma Sohoni</x:v>
      </x:c>
      <x:c r="F5" s="39" t="str">
        <x:v>Perfil / entrevista</x:v>
      </x:c>
      <x:c r="G5" s="39" t="str">
        <x:v>Scaling European founders globally</x:v>
      </x:c>
      <x:c r="H5" s="39" t="str"/>
      <x:c r="I5" s="39" t="str">
        <x:v>Expansão internacional</x:v>
      </x:c>
      <x:c r="J5" s="39" t="str">
        <x:v>O perfil salienta experiência em M&amp;A, Vodafone e expansão de startups para os EUA.</x:v>
      </x:c>
      <x:c r="K5" s="39" t="str">
        <x:v>Perguntar qual marco demonstra que a empresa está pronta para expansão internacional.</x:v>
      </x:c>
      <x:c r="L5" s="39" t="str">
        <x:v>https://seedcamp.com/people/reshma-sohoni/</x:v>
      </x:c>
      <x:c r="M5" s="39" t="str">
        <x:v>Verificado</x:v>
      </x:c>
      <x:c r="N5" s="39" t="str">
        <x:v>Alta</x:v>
      </x:c>
      <x:c r="O5" s="39" t="str">
        <x:v>Alta</x:v>
      </x:c>
      <x:c r="P5" s="39" t="str">
        <x:v>Baixa</x:v>
      </x:c>
      <x:c r="Q5" s="39" t="str">
        <x:v>Referir a ideia ou conteúdo de forma concreta; não simular intimidade.</x:v>
      </x:c>
    </x:row>
    <x:row r="6" ht="40" customHeight="1">
      <x:c r="A6" s="39" t="str">
        <x:v>HOK0005</x:v>
      </x:c>
      <x:c r="B6" s="39" t="str">
        <x:v>INV005</x:v>
      </x:c>
      <x:c r="C6" s="39" t="str">
        <x:v>PER0020</x:v>
      </x:c>
      <x:c r="D6" s="39" t="str">
        <x:v>Speedinvest</x:v>
      </x:c>
      <x:c r="E6" s="39" t="str">
        <x:v>Markus Lang</x:v>
      </x:c>
      <x:c r="F6" s="39" t="str">
        <x:v>Artigo</x:v>
      </x:c>
      <x:c r="G6" s="39" t="str">
        <x:v>We Invest in the Building Blocks for Modern Software Companies</x:v>
      </x:c>
      <x:c r="H6" s="39" t="str">
        <x:v>2022-09-20</x:v>
      </x:c>
      <x:c r="I6" s="39" t="str">
        <x:v>SaaS; infrastructure</x:v>
      </x:c>
      <x:c r="J6" s="39" t="str">
        <x:v>A equipa procura building blocks do software moderno em pre-seed e seed.</x:v>
      </x:c>
      <x:c r="K6" s="39" t="str">
        <x:v>Enquadrar o produto como infraestrutura indispensável e explicar a wedge inicial.</x:v>
      </x:c>
      <x:c r="L6" s="39" t="str">
        <x:v>https://www.speedinvest.com/knowledge/the-speedinvest-saas-infra-team-introducing-our-thesis</x:v>
      </x:c>
      <x:c r="M6" s="39" t="str">
        <x:v>Verificado</x:v>
      </x:c>
      <x:c r="N6" s="39" t="str">
        <x:v>Alta</x:v>
      </x:c>
      <x:c r="O6" s="39" t="str">
        <x:v>Alta</x:v>
      </x:c>
      <x:c r="P6" s="39" t="str">
        <x:v>Baixa</x:v>
      </x:c>
      <x:c r="Q6" s="39" t="str">
        <x:v>Referir a ideia ou conteúdo de forma concreta; não simular intimidade.</x:v>
      </x:c>
    </x:row>
    <x:row r="7" ht="40" customHeight="1">
      <x:c r="A7" s="39" t="str">
        <x:v>HOK0006</x:v>
      </x:c>
      <x:c r="B7" s="39" t="str">
        <x:v>INV005</x:v>
      </x:c>
      <x:c r="C7" s="39" t="str">
        <x:v>PER0027</x:v>
      </x:c>
      <x:c r="D7" s="39" t="str">
        <x:v>Speedinvest</x:v>
      </x:c>
      <x:c r="E7" s="39" t="str">
        <x:v>Frederik Hagenauer</x:v>
      </x:c>
      <x:c r="F7" s="39" t="str">
        <x:v>Artigo</x:v>
      </x:c>
      <x:c r="G7" s="39" t="str">
        <x:v>We Invest in the Building Blocks for Modern Software Companies</x:v>
      </x:c>
      <x:c r="H7" s="39" t="str">
        <x:v>2022-09-20</x:v>
      </x:c>
      <x:c r="I7" s="39" t="str">
        <x:v>SaaS; infrastructure</x:v>
      </x:c>
      <x:c r="J7" s="39" t="str">
        <x:v>Coautor da tese de SaaS e infraestrutura da Speedinvest.</x:v>
      </x:c>
      <x:c r="K7" s="39" t="str">
        <x:v>Conectar a arquitetura do produto a uma mudança estrutural na stack moderna.</x:v>
      </x:c>
      <x:c r="L7" s="39" t="str">
        <x:v>https://www.speedinvest.com/knowledge/the-speedinvest-saas-infra-team-introducing-our-thesis</x:v>
      </x:c>
      <x:c r="M7" s="39" t="str">
        <x:v>Verificado</x:v>
      </x:c>
      <x:c r="N7" s="39" t="str">
        <x:v>Alta</x:v>
      </x:c>
      <x:c r="O7" s="39" t="str">
        <x:v>Alta</x:v>
      </x:c>
      <x:c r="P7" s="39" t="str">
        <x:v>Baixa</x:v>
      </x:c>
      <x:c r="Q7" s="39" t="str">
        <x:v>Referir a ideia ou conteúdo de forma concreta; não simular intimidade.</x:v>
      </x:c>
    </x:row>
    <x:row r="8" ht="40" customHeight="1">
      <x:c r="A8" s="39" t="str">
        <x:v>HOK0007</x:v>
      </x:c>
      <x:c r="B8" s="39" t="str">
        <x:v>INV005</x:v>
      </x:c>
      <x:c r="C8" s="39" t="str">
        <x:v>PER0026</x:v>
      </x:c>
      <x:c r="D8" s="39" t="str">
        <x:v>Speedinvest</x:v>
      </x:c>
      <x:c r="E8" s="39" t="str">
        <x:v>Florian Obst</x:v>
      </x:c>
      <x:c r="F8" s="39" t="str">
        <x:v>Artigo</x:v>
      </x:c>
      <x:c r="G8" s="39" t="str">
        <x:v>We Invest in the Building Blocks for Modern Software Companies</x:v>
      </x:c>
      <x:c r="H8" s="39" t="str">
        <x:v>2022-09-20</x:v>
      </x:c>
      <x:c r="I8" s="39" t="str">
        <x:v>SaaS; infrastructure</x:v>
      </x:c>
      <x:c r="J8" s="39" t="str">
        <x:v>Coautor da tese de SaaS e infraestrutura.</x:v>
      </x:c>
      <x:c r="K8" s="39" t="str">
        <x:v>Mostrar por que a solução se torna um componente central e difícil de substituir.</x:v>
      </x:c>
      <x:c r="L8" s="39" t="str">
        <x:v>https://www.speedinvest.com/knowledge/the-speedinvest-saas-infra-team-introducing-our-thesis</x:v>
      </x:c>
      <x:c r="M8" s="39" t="str">
        <x:v>Verificado</x:v>
      </x:c>
      <x:c r="N8" s="39" t="str">
        <x:v>Alta</x:v>
      </x:c>
      <x:c r="O8" s="39" t="str">
        <x:v>Alta</x:v>
      </x:c>
      <x:c r="P8" s="39" t="str">
        <x:v>Baixa</x:v>
      </x:c>
      <x:c r="Q8" s="39" t="str">
        <x:v>Referir a ideia ou conteúdo de forma concreta; não simular intimidade.</x:v>
      </x:c>
    </x:row>
    <x:row r="9" ht="40" customHeight="1">
      <x:c r="A9" s="39" t="str">
        <x:v>HOK0008</x:v>
      </x:c>
      <x:c r="B9" s="39" t="str">
        <x:v>INV005</x:v>
      </x:c>
      <x:c r="C9" s="39" t="str">
        <x:v>PER0022</x:v>
      </x:c>
      <x:c r="D9" s="39" t="str">
        <x:v>Speedinvest</x:v>
      </x:c>
      <x:c r="E9" s="39" t="str">
        <x:v>Marie-Hélène Ametsreiter</x:v>
      </x:c>
      <x:c r="F9" s="39" t="str">
        <x:v>Perfil / artigo</x:v>
      </x:c>
      <x:c r="G9" s="39" t="str">
        <x:v>Closing Germany's Innovation Gap</x:v>
      </x:c>
      <x:c r="H9" s="39" t="str"/>
      <x:c r="I9" s="39" t="str">
        <x:v>Climate; industrial tech</x:v>
      </x:c>
      <x:c r="J9" s="39" t="str">
        <x:v>Defende ligação entre startups e corporações para acelerar inovação.</x:v>
      </x:c>
      <x:c r="K9" s="39" t="str">
        <x:v>Apresentar uma parceria industrial concreta que o capital pode desbloquear.</x:v>
      </x:c>
      <x:c r="L9" s="39" t="str">
        <x:v>https://www.speedinvest.com/team-members/marie-helene-ametsreiter</x:v>
      </x:c>
      <x:c r="M9" s="39" t="str">
        <x:v>Verificado</x:v>
      </x:c>
      <x:c r="N9" s="39" t="str">
        <x:v>Alta</x:v>
      </x:c>
      <x:c r="O9" s="39" t="str">
        <x:v>Alta</x:v>
      </x:c>
      <x:c r="P9" s="39" t="str">
        <x:v>Baixa</x:v>
      </x:c>
      <x:c r="Q9" s="39" t="str">
        <x:v>Referir a ideia ou conteúdo de forma concreta; não simular intimidade.</x:v>
      </x:c>
    </x:row>
    <x:row r="10" ht="40" customHeight="1">
      <x:c r="A10" s="39" t="str">
        <x:v>HOK0009</x:v>
      </x:c>
      <x:c r="B10" s="39" t="str">
        <x:v>INV006</x:v>
      </x:c>
      <x:c r="C10" s="39" t="str">
        <x:v>PER0034</x:v>
      </x:c>
      <x:c r="D10" s="39" t="str">
        <x:v>Index Ventures</x:v>
      </x:c>
      <x:c r="E10" s="39" t="str">
        <x:v>Shardul Shah</x:v>
      </x:c>
      <x:c r="F10" s="39" t="str">
        <x:v>Perfil / entrevista</x:v>
      </x:c>
      <x:c r="G10" s="39" t="str">
        <x:v>Investment philosophy: founder, conviction, intentionality</x:v>
      </x:c>
      <x:c r="H10" s="39" t="str"/>
      <x:c r="I10" s="39" t="str">
        <x:v>Cybersecurity; AI; enterprise</x:v>
      </x:c>
      <x:c r="J10" s="39" t="str">
        <x:v>Resume a filosofia em fundador, convicção extrema e atuação intencional.</x:v>
      </x:c>
      <x:c r="K10" s="39" t="str">
        <x:v>Abrir com a convicção não consensual e a prova técnica que a suporta.</x:v>
      </x:c>
      <x:c r="L10" s="39" t="str">
        <x:v>https://www.indexventures.com/team/shardul-shah/</x:v>
      </x:c>
      <x:c r="M10" s="39" t="str">
        <x:v>Verificado</x:v>
      </x:c>
      <x:c r="N10" s="39" t="str">
        <x:v>Alta</x:v>
      </x:c>
      <x:c r="O10" s="39" t="str">
        <x:v>Alta</x:v>
      </x:c>
      <x:c r="P10" s="39" t="str">
        <x:v>Baixa</x:v>
      </x:c>
      <x:c r="Q10" s="39" t="str">
        <x:v>Referir a ideia ou conteúdo de forma concreta; não simular intimidade.</x:v>
      </x:c>
    </x:row>
    <x:row r="11" ht="40" customHeight="1">
      <x:c r="A11" s="39" t="str">
        <x:v>HOK0010</x:v>
      </x:c>
      <x:c r="B11" s="39" t="str">
        <x:v>INV007</x:v>
      </x:c>
      <x:c r="C11" s="39" t="str">
        <x:v>PER0044</x:v>
      </x:c>
      <x:c r="D11" s="39" t="str">
        <x:v>Atomico</x:v>
      </x:c>
      <x:c r="E11" s="39" t="str">
        <x:v>Ben Blume</x:v>
      </x:c>
      <x:c r="F11" s="39" t="str">
        <x:v>Perfil / reflexão</x:v>
      </x:c>
      <x:c r="G11" s="39" t="str">
        <x:v>Conviction does not end with the investment</x:v>
      </x:c>
      <x:c r="H11" s="39" t="str"/>
      <x:c r="I11" s="39" t="str">
        <x:v>AI; enterprise; physical industries</x:v>
      </x:c>
      <x:c r="J11" s="39" t="str">
        <x:v>Valoriza utilidade de longo prazo em hiring, scaling e momentos difíceis.</x:v>
      </x:c>
      <x:c r="K11" s="39" t="str">
        <x:v>Relacionar o pedido com um problema operacional difícil que exige software e execução de longo prazo.</x:v>
      </x:c>
      <x:c r="L11" s="39" t="str">
        <x:v>https://20.atomico.com/</x:v>
      </x:c>
      <x:c r="M11" s="39" t="str">
        <x:v>Verificado</x:v>
      </x:c>
      <x:c r="N11" s="39" t="str">
        <x:v>Alta</x:v>
      </x:c>
      <x:c r="O11" s="39" t="str">
        <x:v>Alta</x:v>
      </x:c>
      <x:c r="P11" s="39" t="str">
        <x:v>Baixa</x:v>
      </x:c>
      <x:c r="Q11" s="39" t="str">
        <x:v>Referir a ideia ou conteúdo de forma concreta; não simular intimidade.</x:v>
      </x:c>
    </x:row>
    <x:row r="12" ht="40" customHeight="1">
      <x:c r="A12" s="39" t="str">
        <x:v>HOK0011</x:v>
      </x:c>
      <x:c r="B12" s="39" t="str">
        <x:v>INV007</x:v>
      </x:c>
      <x:c r="C12" s="39" t="str">
        <x:v>PER0043</x:v>
      </x:c>
      <x:c r="D12" s="39" t="str">
        <x:v>Atomico</x:v>
      </x:c>
      <x:c r="E12" s="39" t="str">
        <x:v>Niklas Zennström</x:v>
      </x:c>
      <x:c r="F12" s="39" t="str">
        <x:v>Reflexão institucional</x:v>
      </x:c>
      <x:c r="G12" s="39" t="str">
        <x:v>Europe's mission remains our mission</x:v>
      </x:c>
      <x:c r="H12" s="39" t="str">
        <x:v>2026</x:v>
      </x:c>
      <x:c r="I12" s="39" t="str">
        <x:v>European tech sovereignty</x:v>
      </x:c>
      <x:c r="J12" s="39" t="str">
        <x:v>Defende empresas globais construídas na Europa e maior ambição tecnológica.</x:v>
      </x:c>
      <x:c r="K12" s="39" t="str">
        <x:v>Ligar o projeto a uma vantagem europeia concreta e à possibilidade de liderança global.</x:v>
      </x:c>
      <x:c r="L12" s="39" t="str">
        <x:v>https://20.atomico.com/</x:v>
      </x:c>
      <x:c r="M12" s="39" t="str">
        <x:v>Verificado</x:v>
      </x:c>
      <x:c r="N12" s="39" t="str">
        <x:v>Alta</x:v>
      </x:c>
      <x:c r="O12" s="39" t="str">
        <x:v>Alta</x:v>
      </x:c>
      <x:c r="P12" s="39" t="str">
        <x:v>Baixa</x:v>
      </x:c>
      <x:c r="Q12" s="39" t="str">
        <x:v>Referir a ideia ou conteúdo de forma concreta; não simular intimidade.</x:v>
      </x:c>
    </x:row>
    <x:row r="13" ht="40" customHeight="1">
      <x:c r="A13" s="39" t="str">
        <x:v>HOK0012</x:v>
      </x:c>
      <x:c r="B13" s="39" t="str">
        <x:v>INV008</x:v>
      </x:c>
      <x:c r="C13" s="39" t="str">
        <x:v>PER0050</x:v>
      </x:c>
      <x:c r="D13" s="39" t="str">
        <x:v>Balderton Capital</x:v>
      </x:c>
      <x:c r="E13" s="39" t="str">
        <x:v>Daniel Waterhouse</x:v>
      </x:c>
      <x:c r="F13" s="39" t="str">
        <x:v>Perfil</x:v>
      </x:c>
      <x:c r="G13" s="39" t="str">
        <x:v>From Yahoo and 3i to European venture</x:v>
      </x:c>
      <x:c r="H13" s="39" t="str"/>
      <x:c r="I13" s="39" t="str">
        <x:v>AI health; fusion; enterprise GTM</x:v>
      </x:c>
      <x:c r="J13" s="39" t="str">
        <x:v>Combina experiência operacional e investimento em várias ondas tecnológicas.</x:v>
      </x:c>
      <x:c r="K13" s="39" t="str">
        <x:v>Apresentar o momento de inflexão técnico e a estratégia de GTM em conjunto.</x:v>
      </x:c>
      <x:c r="L13" s="39" t="str">
        <x:v>https://www.balderton.com/team/daniel-waterhouse/</x:v>
      </x:c>
      <x:c r="M13" s="39" t="str">
        <x:v>Verificado</x:v>
      </x:c>
      <x:c r="N13" s="39" t="str">
        <x:v>Alta</x:v>
      </x:c>
      <x:c r="O13" s="39" t="str">
        <x:v>Alta</x:v>
      </x:c>
      <x:c r="P13" s="39" t="str">
        <x:v>Baixa</x:v>
      </x:c>
      <x:c r="Q13" s="39" t="str">
        <x:v>Referir a ideia ou conteúdo de forma concreta; não simular intimidade.</x:v>
      </x:c>
    </x:row>
    <x:row r="14" ht="40" customHeight="1">
      <x:c r="A14" s="39" t="str">
        <x:v>HOK0013</x:v>
      </x:c>
      <x:c r="B14" s="39" t="str">
        <x:v>INV008</x:v>
      </x:c>
      <x:c r="C14" s="39" t="str">
        <x:v>PER0051</x:v>
      </x:c>
      <x:c r="D14" s="39" t="str">
        <x:v>Balderton Capital</x:v>
      </x:c>
      <x:c r="E14" s="39" t="str">
        <x:v>Rob Moffat</x:v>
      </x:c>
      <x:c r="F14" s="39" t="str">
        <x:v>Perfil</x:v>
      </x:c>
      <x:c r="G14" s="39" t="str">
        <x:v>Fintech, mobile consumer and vertical AI</x:v>
      </x:c>
      <x:c r="H14" s="39" t="str"/>
      <x:c r="I14" s="39" t="str">
        <x:v>Fintech; vertical AI</x:v>
      </x:c>
      <x:c r="J14" s="39" t="str">
        <x:v>Foco atual declarado em fintech, mobile consumer e vertical AI.</x:v>
      </x:c>
      <x:c r="K14" s="39" t="str">
        <x:v>Mostrar workflow vertical, dados proprietários e economia por cliente.</x:v>
      </x:c>
      <x:c r="L14" s="39" t="str">
        <x:v>https://www.balderton.com/team/rob-moffat/</x:v>
      </x:c>
      <x:c r="M14" s="39" t="str">
        <x:v>Verificado</x:v>
      </x:c>
      <x:c r="N14" s="39" t="str">
        <x:v>Alta</x:v>
      </x:c>
      <x:c r="O14" s="39" t="str">
        <x:v>Alta</x:v>
      </x:c>
      <x:c r="P14" s="39" t="str">
        <x:v>Baixa</x:v>
      </x:c>
      <x:c r="Q14" s="39" t="str">
        <x:v>Referir a ideia ou conteúdo de forma concreta; não simular intimidade.</x:v>
      </x:c>
    </x:row>
    <x:row r="15" ht="40" customHeight="1">
      <x:c r="A15" s="39" t="str">
        <x:v>HOK0014</x:v>
      </x:c>
      <x:c r="B15" s="39" t="str">
        <x:v>INV009</x:v>
      </x:c>
      <x:c r="C15" s="39" t="str">
        <x:v>PER0062</x:v>
      </x:c>
      <x:c r="D15" s="39" t="str">
        <x:v>Cherry Ventures</x:v>
      </x:c>
      <x:c r="E15" s="39" t="str">
        <x:v>Sophia Bendz</x:v>
      </x:c>
      <x:c r="F15" s="39" t="str">
        <x:v>Perfil</x:v>
      </x:c>
      <x:c r="G15" s="39" t="str">
        <x:v>Operator and angel perspective</x:v>
      </x:c>
      <x:c r="H15" s="39" t="str"/>
      <x:c r="I15" s="39" t="str">
        <x:v>Consumer; brand; community</x:v>
      </x:c>
      <x:c r="J15" s="39" t="str">
        <x:v>Experiência em Spotify, Atomico, angel investing e AllBright.</x:v>
      </x:c>
      <x:c r="K15" s="39" t="str">
        <x:v>Ligar crescimento do produto a comunidade, marca e comportamento orgânico.</x:v>
      </x:c>
      <x:c r="L15" s="39" t="str">
        <x:v>https://cherry.vc/team/sophia-bendz</x:v>
      </x:c>
      <x:c r="M15" s="39" t="str">
        <x:v>Verificado</x:v>
      </x:c>
      <x:c r="N15" s="39" t="str">
        <x:v>Alta</x:v>
      </x:c>
      <x:c r="O15" s="39" t="str">
        <x:v>Alta</x:v>
      </x:c>
      <x:c r="P15" s="39" t="str">
        <x:v>Baixa</x:v>
      </x:c>
      <x:c r="Q15" s="39" t="str">
        <x:v>Referir a ideia ou conteúdo de forma concreta; não simular intimidade.</x:v>
      </x:c>
    </x:row>
    <x:row r="16" ht="40" customHeight="1">
      <x:c r="A16" s="39" t="str">
        <x:v>HOK0015</x:v>
      </x:c>
      <x:c r="B16" s="39" t="str">
        <x:v>INV010</x:v>
      </x:c>
      <x:c r="C16" s="39" t="str">
        <x:v>PER0068</x:v>
      </x:c>
      <x:c r="D16" s="39" t="str">
        <x:v>Creandum</x:v>
      </x:c>
      <x:c r="E16" s="39" t="str">
        <x:v>Staffan Helgesson</x:v>
      </x:c>
      <x:c r="F16" s="39" t="str">
        <x:v>Perfil / entrevistas</x:v>
      </x:c>
      <x:c r="G16" s="39" t="str">
        <x:v>SaaS, climate and electrification</x:v>
      </x:c>
      <x:c r="H16" s="39" t="str"/>
      <x:c r="I16" s="39" t="str">
        <x:v>SaaS; climate</x:v>
      </x:c>
      <x:c r="J16" s="39" t="str">
        <x:v>Fundador da Creandum; foco em SaaS, clima e eletrificação.</x:v>
      </x:c>
      <x:c r="K16" s="39" t="str">
        <x:v>Apresentar a mudança de infraestrutura e por que a Europa tem vantagem nesta categoria.</x:v>
      </x:c>
      <x:c r="L16" s="39" t="str">
        <x:v>https://creandum.com/team/staffan-helgesson/</x:v>
      </x:c>
      <x:c r="M16" s="39" t="str">
        <x:v>Verificado</x:v>
      </x:c>
      <x:c r="N16" s="39" t="str">
        <x:v>Alta</x:v>
      </x:c>
      <x:c r="O16" s="39" t="str">
        <x:v>Alta</x:v>
      </x:c>
      <x:c r="P16" s="39" t="str">
        <x:v>Baixa</x:v>
      </x:c>
      <x:c r="Q16" s="39" t="str">
        <x:v>Referir a ideia ou conteúdo de forma concreta; não simular intimidade.</x:v>
      </x:c>
    </x:row>
    <x:row r="17" ht="40" customHeight="1">
      <x:c r="A17" s="39" t="str">
        <x:v>HOK0016</x:v>
      </x:c>
      <x:c r="B17" s="39" t="str">
        <x:v>INV010</x:v>
      </x:c>
      <x:c r="C17" s="39" t="str">
        <x:v>PER0069</x:v>
      </x:c>
      <x:c r="D17" s="39" t="str">
        <x:v>Creandum</x:v>
      </x:c>
      <x:c r="E17" s="39" t="str">
        <x:v>Carl Fritjofsson</x:v>
      </x:c>
      <x:c r="F17" s="39" t="str">
        <x:v>Perfil / podcast</x:v>
      </x:c>
      <x:c r="G17" s="39" t="str">
        <x:v>AI infra, vertical AI and lessons from scaling Wrapp</x:v>
      </x:c>
      <x:c r="H17" s="39" t="str"/>
      <x:c r="I17" s="39" t="str">
        <x:v>AI; company scaling</x:v>
      </x:c>
      <x:c r="J17" s="39" t="str">
        <x:v>Reflete sobre erros de escalar cedo, subsidiar produto e sobrestimar concorrência.</x:v>
      </x:c>
      <x:c r="K17" s="39" t="str">
        <x:v>Mostrar disciplina de escala e a aprendizagem que evitou crescimento artificial.</x:v>
      </x:c>
      <x:c r="L17" s="39" t="str">
        <x:v>https://creandum.com/team/carl-fritjofsson/</x:v>
      </x:c>
      <x:c r="M17" s="39" t="str">
        <x:v>Verificado</x:v>
      </x:c>
      <x:c r="N17" s="39" t="str">
        <x:v>Alta</x:v>
      </x:c>
      <x:c r="O17" s="39" t="str">
        <x:v>Alta</x:v>
      </x:c>
      <x:c r="P17" s="39" t="str">
        <x:v>Baixa</x:v>
      </x:c>
      <x:c r="Q17" s="39" t="str">
        <x:v>Referir a ideia ou conteúdo de forma concreta; não simular intimidade.</x:v>
      </x:c>
    </x:row>
    <x:row r="18" ht="40" customHeight="1">
      <x:c r="A18" s="39" t="str">
        <x:v>HOK0017</x:v>
      </x:c>
      <x:c r="B18" s="39" t="str">
        <x:v>INV010</x:v>
      </x:c>
      <x:c r="C18" s="39" t="str">
        <x:v>PER0073</x:v>
      </x:c>
      <x:c r="D18" s="39" t="str">
        <x:v>Creandum</x:v>
      </x:c>
      <x:c r="E18" s="39" t="str">
        <x:v>Jakob Stein</x:v>
      </x:c>
      <x:c r="F18" s="39" t="str">
        <x:v>Perfil</x:v>
      </x:c>
      <x:c r="G18" s="39" t="str">
        <x:v>Physical AI and Europe's industrial edge</x:v>
      </x:c>
      <x:c r="H18" s="39" t="str"/>
      <x:c r="I18" s="39" t="str">
        <x:v>Physical AI; compute</x:v>
      </x:c>
      <x:c r="J18" s="39" t="str">
        <x:v>Vê vantagem europeia em talento técnico, indústria e problemas físicos difíceis.</x:v>
      </x:c>
      <x:c r="K18" s="39" t="str">
        <x:v>Ligar o produto a um processo industrial concreto e a dados do mundo físico.</x:v>
      </x:c>
      <x:c r="L18" s="39" t="str">
        <x:v>https://creandum.com/team/jakob-stein/</x:v>
      </x:c>
      <x:c r="M18" s="39" t="str">
        <x:v>Verificado</x:v>
      </x:c>
      <x:c r="N18" s="39" t="str">
        <x:v>Alta</x:v>
      </x:c>
      <x:c r="O18" s="39" t="str">
        <x:v>Alta</x:v>
      </x:c>
      <x:c r="P18" s="39" t="str">
        <x:v>Baixa</x:v>
      </x:c>
      <x:c r="Q18" s="39" t="str">
        <x:v>Referir a ideia ou conteúdo de forma concreta; não simular intimidade.</x:v>
      </x:c>
    </x:row>
    <x:row r="19" ht="40" customHeight="1">
      <x:c r="A19" s="39" t="str">
        <x:v>HOK0018</x:v>
      </x:c>
      <x:c r="B19" s="39" t="str">
        <x:v>INV010</x:v>
      </x:c>
      <x:c r="C19" s="39" t="str">
        <x:v>PER0077</x:v>
      </x:c>
      <x:c r="D19" s="39" t="str">
        <x:v>Creandum</x:v>
      </x:c>
      <x:c r="E19" s="39" t="str">
        <x:v>Richard Keuntje</x:v>
      </x:c>
      <x:c r="F19" s="39" t="str">
        <x:v>Perfil</x:v>
      </x:c>
      <x:c r="G19" s="39" t="str">
        <x:v>What if everything goes right?</x:v>
      </x:c>
      <x:c r="H19" s="39" t="str"/>
      <x:c r="I19" s="39" t="str">
        <x:v>Enterprise AI</x:v>
      </x:c>
      <x:c r="J19" s="39" t="str">
        <x:v>Usa a pergunta sobre o melhor cenário para decidir se vale assumir o risco.</x:v>
      </x:c>
      <x:c r="K19" s="39" t="str">
        <x:v>Apresentar o cenário otimista quantificado e por que é plausível.</x:v>
      </x:c>
      <x:c r="L19" s="39" t="str">
        <x:v>https://creandum.com/team/richard-keuntje/</x:v>
      </x:c>
      <x:c r="M19" s="39" t="str">
        <x:v>Verificado</x:v>
      </x:c>
      <x:c r="N19" s="39" t="str">
        <x:v>Alta</x:v>
      </x:c>
      <x:c r="O19" s="39" t="str">
        <x:v>Alta</x:v>
      </x:c>
      <x:c r="P19" s="39" t="str">
        <x:v>Baixa</x:v>
      </x:c>
      <x:c r="Q19" s="39" t="str">
        <x:v>Referir a ideia ou conteúdo de forma concreta; não simular intimidade.</x:v>
      </x:c>
    </x:row>
    <x:row r="20" ht="40" customHeight="1">
      <x:c r="A20" s="39" t="str">
        <x:v>HOK0019</x:v>
      </x:c>
      <x:c r="B20" s="39" t="str">
        <x:v>INV010</x:v>
      </x:c>
      <x:c r="C20" s="39" t="str">
        <x:v>PER0079</x:v>
      </x:c>
      <x:c r="D20" s="39" t="str">
        <x:v>Creandum</x:v>
      </x:c>
      <x:c r="E20" s="39" t="str">
        <x:v>Maria Raga</x:v>
      </x:c>
      <x:c r="F20" s="39" t="str">
        <x:v>Perfil</x:v>
      </x:c>
      <x:c r="G20" s="39" t="str">
        <x:v>Scaling Depop to a $1.6bn acquisition</x:v>
      </x:c>
      <x:c r="H20" s="39" t="str"/>
      <x:c r="I20" s="39" t="str">
        <x:v>Consumer; scaling culture</x:v>
      </x:c>
      <x:c r="J20" s="39" t="str">
        <x:v>Traz experiência operacional de Groupon e de liderar a Depop até aquisição.</x:v>
      </x:c>
      <x:c r="K20" s="39" t="str">
        <x:v>Pedir uma perspetiva sobre o ponto em que a cultura precisa de mudar para suportar escala.</x:v>
      </x:c>
      <x:c r="L20" s="39" t="str">
        <x:v>https://creandum.com/team/maria-raga/</x:v>
      </x:c>
      <x:c r="M20" s="39" t="str">
        <x:v>Verificado</x:v>
      </x:c>
      <x:c r="N20" s="39" t="str">
        <x:v>Alta</x:v>
      </x:c>
      <x:c r="O20" s="39" t="str">
        <x:v>Alta</x:v>
      </x:c>
      <x:c r="P20" s="39" t="str">
        <x:v>Baixa</x:v>
      </x:c>
      <x:c r="Q20" s="39" t="str">
        <x:v>Referir a ideia ou conteúdo de forma concreta; não simular intimidade.</x:v>
      </x:c>
    </x:row>
    <x:row r="21" ht="40" customHeight="1">
      <x:c r="A21" s="39" t="str">
        <x:v>HOK0020</x:v>
      </x:c>
      <x:c r="B21" s="39" t="str">
        <x:v>INV011</x:v>
      </x:c>
      <x:c r="C21" s="39" t="str">
        <x:v>PER0083</x:v>
      </x:c>
      <x:c r="D21" s="39" t="str">
        <x:v>Northzone</x:v>
      </x:c>
      <x:c r="E21" s="39" t="str">
        <x:v>Pär-Jörgen Pärson</x:v>
      </x:c>
      <x:c r="F21" s="39" t="str">
        <x:v>Perfil</x:v>
      </x:c>
      <x:c r="G21" s="39" t="str">
        <x:v>Fundamental shifts upend industries</x:v>
      </x:c>
      <x:c r="H21" s="39" t="str"/>
      <x:c r="I21" s="39" t="str">
        <x:v>Energy; health; consumer; AI</x:v>
      </x:c>
      <x:c r="J21" s="39" t="str">
        <x:v>Procura mudanças fundamentais capazes de derrubar estruturas existentes.</x:v>
      </x:c>
      <x:c r="K21" s="39" t="str">
        <x:v>Começar pela mudança estrutural e mostrar o comportamento que já mudou.</x:v>
      </x:c>
      <x:c r="L21" s="39" t="str">
        <x:v>https://northzone.com/team/par-jorgen-parson?f411be3b_page=1</x:v>
      </x:c>
      <x:c r="M21" s="39" t="str">
        <x:v>Verificado</x:v>
      </x:c>
      <x:c r="N21" s="39" t="str">
        <x:v>Alta</x:v>
      </x:c>
      <x:c r="O21" s="39" t="str">
        <x:v>Alta</x:v>
      </x:c>
      <x:c r="P21" s="39" t="str">
        <x:v>Baixa</x:v>
      </x:c>
      <x:c r="Q21" s="39" t="str">
        <x:v>Referir a ideia ou conteúdo de forma concreta; não simular intimidade.</x:v>
      </x:c>
    </x:row>
    <x:row r="22" ht="40" customHeight="1">
      <x:c r="A22" s="39" t="str">
        <x:v>HOK0021</x:v>
      </x:c>
      <x:c r="B22" s="39" t="str">
        <x:v>INV011</x:v>
      </x:c>
      <x:c r="C22" s="39" t="str">
        <x:v>PER0083</x:v>
      </x:c>
      <x:c r="D22" s="39" t="str">
        <x:v>Northzone</x:v>
      </x:c>
      <x:c r="E22" s="39" t="str">
        <x:v>Pär-Jörgen Pärson</x:v>
      </x:c>
      <x:c r="F22" s="39" t="str">
        <x:v>Artigo</x:v>
      </x:c>
      <x:c r="G22" s="39" t="str">
        <x:v>Hypothesis-led investing</x:v>
      </x:c>
      <x:c r="H22" s="39" t="str"/>
      <x:c r="I22" s="39" t="str">
        <x:v>Investment process</x:v>
      </x:c>
      <x:c r="J22" s="39" t="str">
        <x:v>Defende explicitar hipóteses, pressupostos e o leap of faith.</x:v>
      </x:c>
      <x:c r="K22" s="39" t="str">
        <x:v>Enviar uma hipótese de investimento curta com pressupostos que podem ser testados.</x:v>
      </x:c>
      <x:c r="L22" s="39" t="str">
        <x:v>https://northzone.com/insights/hypothesis-led-investing-how-we-institutionalised-gut-driven-investing-and-our-learnings-from-spring-healths-investment-memo</x:v>
      </x:c>
      <x:c r="M22" s="39" t="str">
        <x:v>Verificado</x:v>
      </x:c>
      <x:c r="N22" s="39" t="str">
        <x:v>Alta</x:v>
      </x:c>
      <x:c r="O22" s="39" t="str">
        <x:v>Alta</x:v>
      </x:c>
      <x:c r="P22" s="39" t="str">
        <x:v>Baixa</x:v>
      </x:c>
      <x:c r="Q22" s="39" t="str">
        <x:v>Referir a ideia ou conteúdo de forma concreta; não simular intimidade.</x:v>
      </x:c>
    </x:row>
    <x:row r="23" ht="40" customHeight="1">
      <x:c r="A23" s="39" t="str">
        <x:v>HOK0022</x:v>
      </x:c>
      <x:c r="B23" s="39" t="str">
        <x:v>INV011</x:v>
      </x:c>
      <x:c r="C23" s="39" t="str">
        <x:v>PER0085</x:v>
      </x:c>
      <x:c r="D23" s="39" t="str">
        <x:v>Northzone</x:v>
      </x:c>
      <x:c r="E23" s="39" t="str">
        <x:v>Sanjot Malhi</x:v>
      </x:c>
      <x:c r="F23" s="39" t="str">
        <x:v>Perfil</x:v>
      </x:c>
      <x:c r="G23" s="39" t="str">
        <x:v>Global growth investor and former football player</x:v>
      </x:c>
      <x:c r="H23" s="39" t="str"/>
      <x:c r="I23" s="39" t="str">
        <x:v>Growth; international scaling</x:v>
      </x:c>
      <x:c r="J23" s="39" t="str">
        <x:v>Experiência global em late-stage e passado como jogador profissional.</x:v>
      </x:c>
      <x:c r="K23" s="39" t="str">
        <x:v>Relacionar disciplina competitiva com a métrica que define a próxima fase de crescimento.</x:v>
      </x:c>
      <x:c r="L23" s="39" t="str">
        <x:v>https://northzone.com/team/sanjot-malhi</x:v>
      </x:c>
      <x:c r="M23" s="39" t="str">
        <x:v>Verificado</x:v>
      </x:c>
      <x:c r="N23" s="39" t="str">
        <x:v>Alta</x:v>
      </x:c>
      <x:c r="O23" s="39" t="str">
        <x:v>Alta</x:v>
      </x:c>
      <x:c r="P23" s="39" t="str">
        <x:v>Baixa</x:v>
      </x:c>
      <x:c r="Q23" s="39" t="str">
        <x:v>Referir a ideia ou conteúdo de forma concreta; não simular intimidade.</x:v>
      </x:c>
    </x:row>
    <x:row r="24" ht="40" customHeight="1">
      <x:c r="A24" s="39" t="str">
        <x:v>HOK0023</x:v>
      </x:c>
      <x:c r="B24" s="39" t="str">
        <x:v>INV012</x:v>
      </x:c>
      <x:c r="C24" s="39" t="str">
        <x:v>PER0099</x:v>
      </x:c>
      <x:c r="D24" s="39" t="str">
        <x:v>Project A</x:v>
      </x:c>
      <x:c r="E24" s="39" t="str">
        <x:v>Philipp Werner</x:v>
      </x:c>
      <x:c r="F24" s="39" t="str">
        <x:v>Perfil</x:v>
      </x:c>
      <x:c r="G24" s="39" t="str">
        <x:v>Operator turned investor in supply chains and energy</x:v>
      </x:c>
      <x:c r="H24" s="39" t="str"/>
      <x:c r="I24" s="39" t="str">
        <x:v>Supply chain; logistics; energy</x:v>
      </x:c>
      <x:c r="J24" s="39" t="str">
        <x:v>Passou por venture development, CMO e investimento na Project A.</x:v>
      </x:c>
      <x:c r="K24" s="39" t="str">
        <x:v>Mostrar uma fricção operacional que a equipa conhece por experiência própria.</x:v>
      </x:c>
      <x:c r="L24" s="39" t="str">
        <x:v>https://www.project-a.com/team/philipp-werner/</x:v>
      </x:c>
      <x:c r="M24" s="39" t="str">
        <x:v>Verificado</x:v>
      </x:c>
      <x:c r="N24" s="39" t="str">
        <x:v>Alta</x:v>
      </x:c>
      <x:c r="O24" s="39" t="str">
        <x:v>Alta</x:v>
      </x:c>
      <x:c r="P24" s="39" t="str">
        <x:v>Baixa</x:v>
      </x:c>
      <x:c r="Q24" s="39" t="str">
        <x:v>Referir a ideia ou conteúdo de forma concreta; não simular intimidade.</x:v>
      </x:c>
    </x:row>
    <x:row r="25" ht="40" customHeight="1">
      <x:c r="A25" s="39" t="str">
        <x:v>HOK0024</x:v>
      </x:c>
      <x:c r="B25" s="39" t="str">
        <x:v>INV012</x:v>
      </x:c>
      <x:c r="C25" s="39" t="str">
        <x:v>PER0099</x:v>
      </x:c>
      <x:c r="D25" s="39" t="str">
        <x:v>Project A</x:v>
      </x:c>
      <x:c r="E25" s="39" t="str">
        <x:v>Philipp Werner</x:v>
      </x:c>
      <x:c r="F25" s="39" t="str">
        <x:v>Artigo</x:v>
      </x:c>
      <x:c r="G25" s="39" t="str">
        <x:v>From early conviction to category leader</x:v>
      </x:c>
      <x:c r="H25" s="39" t="str"/>
      <x:c r="I25" s="39" t="str">
        <x:v>Agentic procurement</x:v>
      </x:c>
      <x:c r="J25" s="39" t="str">
        <x:v>Relaciona agentes de IA com procurement e cadeias globais.</x:v>
      </x:c>
      <x:c r="K25" s="39" t="str">
        <x:v>Enquadrar a solução como sistema de ação e não apenas dashboard.</x:v>
      </x:c>
      <x:c r="L25" s="39" t="str">
        <x:v>https://insights.project-a.com/from-early-conviction-to-category-leader/</x:v>
      </x:c>
      <x:c r="M25" s="39" t="str">
        <x:v>Verificado</x:v>
      </x:c>
      <x:c r="N25" s="39" t="str">
        <x:v>Alta</x:v>
      </x:c>
      <x:c r="O25" s="39" t="str">
        <x:v>Alta</x:v>
      </x:c>
      <x:c r="P25" s="39" t="str">
        <x:v>Baixa</x:v>
      </x:c>
      <x:c r="Q25" s="39" t="str">
        <x:v>Referir a ideia ou conteúdo de forma concreta; não simular intimidade.</x:v>
      </x:c>
    </x:row>
    <x:row r="26" ht="40" customHeight="1">
      <x:c r="A26" s="39" t="str">
        <x:v>HOK0025</x:v>
      </x:c>
      <x:c r="B26" s="39" t="str">
        <x:v>INV012</x:v>
      </x:c>
      <x:c r="C26" s="39" t="str">
        <x:v>PER0094</x:v>
      </x:c>
      <x:c r="D26" s="39" t="str">
        <x:v>Project A</x:v>
      </x:c>
      <x:c r="E26" s="39" t="str">
        <x:v>Florian Heinemann</x:v>
      </x:c>
      <x:c r="F26" s="39" t="str">
        <x:v>Perfil</x:v>
      </x:c>
      <x:c r="G26" s="39" t="str">
        <x:v>Marketing, CRM and business intelligence</x:v>
      </x:c>
      <x:c r="H26" s="39" t="str"/>
      <x:c r="I26" s="39" t="str">
        <x:v>GTM; analytics</x:v>
      </x:c>
      <x:c r="J26" s="39" t="str">
        <x:v>Histórico como fundador e operador na Rocket Internet e JustBooks/AbeBooks.</x:v>
      </x:c>
      <x:c r="K26" s="39" t="str">
        <x:v>Trazer unit economics e um plano de aquisição testável desde o primeiro contacto.</x:v>
      </x:c>
      <x:c r="L26" s="39" t="str">
        <x:v>https://www.project-a.com/team/florian-heinemann</x:v>
      </x:c>
      <x:c r="M26" s="39" t="str">
        <x:v>Verificado</x:v>
      </x:c>
      <x:c r="N26" s="39" t="str">
        <x:v>Alta</x:v>
      </x:c>
      <x:c r="O26" s="39" t="str">
        <x:v>Alta</x:v>
      </x:c>
      <x:c r="P26" s="39" t="str">
        <x:v>Baixa</x:v>
      </x:c>
      <x:c r="Q26" s="39" t="str">
        <x:v>Referir a ideia ou conteúdo de forma concreta; não simular intimidade.</x:v>
      </x:c>
    </x:row>
    <x:row r="27" ht="40" customHeight="1">
      <x:c r="A27" s="39" t="str">
        <x:v>HOK0026</x:v>
      </x:c>
      <x:c r="B27" s="39" t="str">
        <x:v>INV012</x:v>
      </x:c>
      <x:c r="C27" s="39" t="str">
        <x:v>PER0093</x:v>
      </x:c>
      <x:c r="D27" s="39" t="str">
        <x:v>Project A</x:v>
      </x:c>
      <x:c r="E27" s="39" t="str">
        <x:v>Uwe Horstmann</x:v>
      </x:c>
      <x:c r="F27" s="39" t="str">
        <x:v>Perfil</x:v>
      </x:c>
      <x:c r="G27" s="39" t="str">
        <x:v>Dealflow, investments and disaster logistics</x:v>
      </x:c>
      <x:c r="H27" s="39" t="str"/>
      <x:c r="I27" s="39" t="str">
        <x:v>Investment; logistics</x:v>
      </x:c>
      <x:c r="J27" s="39" t="str">
        <x:v>Além de VC, trabalha em disaster logistics com organizações internacionais.</x:v>
      </x:c>
      <x:c r="K27" s="39" t="str">
        <x:v>Se houver logística ou resiliência, ligar a missão a um caso operacional real.</x:v>
      </x:c>
      <x:c r="L27" s="39" t="str">
        <x:v>https://www.project-a.com/team/uwe-horstmann/</x:v>
      </x:c>
      <x:c r="M27" s="39" t="str">
        <x:v>Verificado</x:v>
      </x:c>
      <x:c r="N27" s="39" t="str">
        <x:v>Alta</x:v>
      </x:c>
      <x:c r="O27" s="39" t="str">
        <x:v>Alta</x:v>
      </x:c>
      <x:c r="P27" s="39" t="str">
        <x:v>Baixa</x:v>
      </x:c>
      <x:c r="Q27" s="39" t="str">
        <x:v>Referir a ideia ou conteúdo de forma concreta; não simular intimidade.</x:v>
      </x:c>
    </x:row>
    <x:row r="28" ht="40" customHeight="1">
      <x:c r="A28" s="39" t="str">
        <x:v>HOK0027</x:v>
      </x:c>
      <x:c r="B28" s="39" t="str">
        <x:v>INV012</x:v>
      </x:c>
      <x:c r="C28" s="39" t="str">
        <x:v>PER0098</x:v>
      </x:c>
      <x:c r="D28" s="39" t="str">
        <x:v>Project A</x:v>
      </x:c>
      <x:c r="E28" s="39" t="str">
        <x:v>Malin Posern</x:v>
      </x:c>
      <x:c r="F28" s="39" t="str">
        <x:v>Perfil</x:v>
      </x:c>
      <x:c r="G28" s="39" t="str">
        <x:v>Operator and investor across consumer and SaaS</x:v>
      </x:c>
      <x:c r="H28" s="39" t="str"/>
      <x:c r="I28" s="39" t="str">
        <x:v>Consumer; SaaS; fintech</x:v>
      </x:c>
      <x:c r="J28" s="39" t="str">
        <x:v>Foi GP na Passion Capital, investidora na Index e operadora na Browns/Farfetch.</x:v>
      </x:c>
      <x:c r="K28" s="39" t="str">
        <x:v>Mostrar uma decisão de produto ou distribuição que exige experiência simultânea de operação e capital.</x:v>
      </x:c>
      <x:c r="L28" s="39" t="str">
        <x:v>https://www.project-a.com/team/malin-posern</x:v>
      </x:c>
      <x:c r="M28" s="39" t="str">
        <x:v>Verificado</x:v>
      </x:c>
      <x:c r="N28" s="39" t="str">
        <x:v>Alta</x:v>
      </x:c>
      <x:c r="O28" s="39" t="str">
        <x:v>Alta</x:v>
      </x:c>
      <x:c r="P28" s="39" t="str">
        <x:v>Baixa</x:v>
      </x:c>
      <x:c r="Q28" s="39" t="str">
        <x:v>Referir a ideia ou conteúdo de forma concreta; não simular intimidade.</x:v>
      </x:c>
    </x:row>
    <x:row r="29" ht="40" customHeight="1">
      <x:c r="A29" s="39" t="str">
        <x:v>HOK0028</x:v>
      </x:c>
      <x:c r="B29" s="39" t="str">
        <x:v>INV013</x:v>
      </x:c>
      <x:c r="C29" s="39" t="str">
        <x:v>PER0102</x:v>
      </x:c>
      <x:c r="D29" s="39" t="str">
        <x:v>Dawn Capital</x:v>
      </x:c>
      <x:c r="E29" s="39" t="str">
        <x:v>Josh Bell</x:v>
      </x:c>
      <x:c r="F29" s="39" t="str">
        <x:v>Perfil / entrevista</x:v>
      </x:c>
      <x:c r="G29" s="39" t="str">
        <x:v>Founders reveal themselves in existential moments</x:v>
      </x:c>
      <x:c r="H29" s="39" t="str"/>
      <x:c r="I29" s="39" t="str">
        <x:v>Fintech; leadership</x:v>
      </x:c>
      <x:c r="J29" s="39" t="str">
        <x:v>Valoriza a forma como fundadores reagem a momentos existenciais.</x:v>
      </x:c>
      <x:c r="K29" s="39" t="str">
        <x:v>Partilhar uma decisão difícil já tomada e a aprendizagem objetiva.</x:v>
      </x:c>
      <x:c r="L29" s="39" t="str">
        <x:v>https://www.dawncapital.com/team/josh-bell</x:v>
      </x:c>
      <x:c r="M29" s="39" t="str">
        <x:v>Verificado</x:v>
      </x:c>
      <x:c r="N29" s="39" t="str">
        <x:v>Alta</x:v>
      </x:c>
      <x:c r="O29" s="39" t="str">
        <x:v>Alta</x:v>
      </x:c>
      <x:c r="P29" s="39" t="str">
        <x:v>Baixa</x:v>
      </x:c>
      <x:c r="Q29" s="39" t="str">
        <x:v>Referir a ideia ou conteúdo de forma concreta; não simular intimidade.</x:v>
      </x:c>
    </x:row>
    <x:row r="30" ht="40" customHeight="1">
      <x:c r="A30" s="39" t="str">
        <x:v>HOK0029</x:v>
      </x:c>
      <x:c r="B30" s="39" t="str">
        <x:v>INV013</x:v>
      </x:c>
      <x:c r="C30" s="39" t="str">
        <x:v>PER0103</x:v>
      </x:c>
      <x:c r="D30" s="39" t="str">
        <x:v>Dawn Capital</x:v>
      </x:c>
      <x:c r="E30" s="39" t="str">
        <x:v>Norman Fiore</x:v>
      </x:c>
      <x:c r="F30" s="39" t="str">
        <x:v>Perfil / artigos</x:v>
      </x:c>
      <x:c r="G30" s="39" t="str">
        <x:v>Treat portfolio companies as customers</x:v>
      </x:c>
      <x:c r="H30" s="39" t="str"/>
      <x:c r="I30" s="39" t="str">
        <x:v>Founder support; B2B software</x:v>
      </x:c>
      <x:c r="J30" s="39" t="str">
        <x:v>A cultura da Dawn trata empresas do portfólio como clientes.</x:v>
      </x:c>
      <x:c r="K30" s="39" t="str">
        <x:v>Ser específico sobre a decisão difícil em que procuras um parceiro de conselho.</x:v>
      </x:c>
      <x:c r="L30" s="39" t="str">
        <x:v>https://www.dawncapital.com/team/norman-fiore</x:v>
      </x:c>
      <x:c r="M30" s="39" t="str">
        <x:v>Verificado</x:v>
      </x:c>
      <x:c r="N30" s="39" t="str">
        <x:v>Alta</x:v>
      </x:c>
      <x:c r="O30" s="39" t="str">
        <x:v>Alta</x:v>
      </x:c>
      <x:c r="P30" s="39" t="str">
        <x:v>Baixa</x:v>
      </x:c>
      <x:c r="Q30" s="39" t="str">
        <x:v>Referir a ideia ou conteúdo de forma concreta; não simular intimidade.</x:v>
      </x:c>
    </x:row>
    <x:row r="31" ht="40" customHeight="1">
      <x:c r="A31" s="39" t="str">
        <x:v>HOK0030</x:v>
      </x:c>
      <x:c r="B31" s="39" t="str">
        <x:v>INV013</x:v>
      </x:c>
      <x:c r="C31" s="39" t="str">
        <x:v>PER0103</x:v>
      </x:c>
      <x:c r="D31" s="39" t="str">
        <x:v>Dawn Capital</x:v>
      </x:c>
      <x:c r="E31" s="39" t="str">
        <x:v>Norman Fiore</x:v>
      </x:c>
      <x:c r="F31" s="39" t="str">
        <x:v>Artigo</x:v>
      </x:c>
      <x:c r="G31" s="39" t="str">
        <x:v>Burning your Equity</x:v>
      </x:c>
      <x:c r="H31" s="39" t="str">
        <x:v>2020-11-18</x:v>
      </x:c>
      <x:c r="I31" s="39" t="str">
        <x:v>Capital efficiency</x:v>
      </x:c>
      <x:c r="J31" s="39" t="str">
        <x:v>Propõe observar equity burn, não apenas cash burn.</x:v>
      </x:c>
      <x:c r="K31" s="39" t="str">
        <x:v>Apresentar eficiência de capital e diluição esperada até ao próximo marco.</x:v>
      </x:c>
      <x:c r="L31" s="39" t="str">
        <x:v>https://dawncapital.com/author/norman/</x:v>
      </x:c>
      <x:c r="M31" s="39" t="str">
        <x:v>Verificado</x:v>
      </x:c>
      <x:c r="N31" s="39" t="str">
        <x:v>Alta</x:v>
      </x:c>
      <x:c r="O31" s="39" t="str">
        <x:v>Alta</x:v>
      </x:c>
      <x:c r="P31" s="39" t="str">
        <x:v>Baixa</x:v>
      </x:c>
      <x:c r="Q31" s="39" t="str">
        <x:v>Referir a ideia ou conteúdo de forma concreta; não simular intimidade.</x:v>
      </x:c>
    </x:row>
    <x:row r="32" ht="40" customHeight="1">
      <x:c r="A32" s="39" t="str">
        <x:v>HOK0031</x:v>
      </x:c>
      <x:c r="B32" s="39" t="str">
        <x:v>INV013</x:v>
      </x:c>
      <x:c r="C32" s="39" t="str">
        <x:v>PER0104</x:v>
      </x:c>
      <x:c r="D32" s="39" t="str">
        <x:v>Dawn Capital</x:v>
      </x:c>
      <x:c r="E32" s="39" t="str">
        <x:v>Evgenia Plotnikova</x:v>
      </x:c>
      <x:c r="F32" s="39" t="str">
        <x:v>Perfil</x:v>
      </x:c>
      <x:c r="G32" s="39" t="str">
        <x:v>Technology step change meets underestimated structural need</x:v>
      </x:c>
      <x:c r="H32" s="39" t="str"/>
      <x:c r="I32" s="39" t="str">
        <x:v>AI; infrastructure</x:v>
      </x:c>
      <x:c r="J32" s="39" t="str">
        <x:v>Procura a interseção entre salto tecnológico e necessidade estrutural subestimada.</x:v>
      </x:c>
      <x:c r="K32" s="39" t="str">
        <x:v>Abrir com a necessidade estrutural e a prova de que o timing tecnológico mudou.</x:v>
      </x:c>
      <x:c r="L32" s="39" t="str">
        <x:v>https://www.dawncapital.com/team/evgenia-plotnikova</x:v>
      </x:c>
      <x:c r="M32" s="39" t="str">
        <x:v>Verificado</x:v>
      </x:c>
      <x:c r="N32" s="39" t="str">
        <x:v>Alta</x:v>
      </x:c>
      <x:c r="O32" s="39" t="str">
        <x:v>Alta</x:v>
      </x:c>
      <x:c r="P32" s="39" t="str">
        <x:v>Baixa</x:v>
      </x:c>
      <x:c r="Q32" s="39" t="str">
        <x:v>Referir a ideia ou conteúdo de forma concreta; não simular intimidade.</x:v>
      </x:c>
    </x:row>
    <x:row r="33" ht="40" customHeight="1">
      <x:c r="A33" s="39" t="str">
        <x:v>HOK0032</x:v>
      </x:c>
      <x:c r="B33" s="39" t="str">
        <x:v>INV013</x:v>
      </x:c>
      <x:c r="C33" s="39" t="str">
        <x:v>PER0106</x:v>
      </x:c>
      <x:c r="D33" s="39" t="str">
        <x:v>Dawn Capital</x:v>
      </x:c>
      <x:c r="E33" s="39" t="str">
        <x:v>Shamillah Bankiya</x:v>
      </x:c>
      <x:c r="F33" s="39" t="str">
        <x:v>Perfil</x:v>
      </x:c>
      <x:c r="G33" s="39" t="str">
        <x:v>Stay close to hard problems</x:v>
      </x:c>
      <x:c r="H33" s="39" t="str"/>
      <x:c r="I33" s="39" t="str">
        <x:v>AI; infrastructure; automation</x:v>
      </x:c>
      <x:c r="J33" s="39" t="str">
        <x:v>Procura founders que permanecem próximos de problemas técnicos ou operacionais difíceis.</x:v>
      </x:c>
      <x:c r="K33" s="39" t="str">
        <x:v>Descrever o workflow difícil que a equipa viveu e o insight exclusivo que daí resultou.</x:v>
      </x:c>
      <x:c r="L33" s="39" t="str">
        <x:v>https://www.dawncapital.com/team/shamillah-bankiya</x:v>
      </x:c>
      <x:c r="M33" s="39" t="str">
        <x:v>Verificado</x:v>
      </x:c>
      <x:c r="N33" s="39" t="str">
        <x:v>Alta</x:v>
      </x:c>
      <x:c r="O33" s="39" t="str">
        <x:v>Alta</x:v>
      </x:c>
      <x:c r="P33" s="39" t="str">
        <x:v>Baixa</x:v>
      </x:c>
      <x:c r="Q33" s="39" t="str">
        <x:v>Referir a ideia ou conteúdo de forma concreta; não simular intimidade.</x:v>
      </x:c>
    </x:row>
    <x:row r="34" ht="40" customHeight="1">
      <x:c r="A34" s="39" t="str">
        <x:v>HOK0033</x:v>
      </x:c>
      <x:c r="B34" s="39" t="str">
        <x:v>INV013</x:v>
      </x:c>
      <x:c r="C34" s="39" t="str">
        <x:v>PER0107</x:v>
      </x:c>
      <x:c r="D34" s="39" t="str">
        <x:v>Dawn Capital</x:v>
      </x:c>
      <x:c r="E34" s="39" t="str">
        <x:v>Dan Chaplin</x:v>
      </x:c>
      <x:c r="F34" s="39" t="str">
        <x:v>Perfil</x:v>
      </x:c>
      <x:c r="G34" s="39" t="str">
        <x:v>Humble independent thinkers and narrative</x:v>
      </x:c>
      <x:c r="H34" s="39" t="str"/>
      <x:c r="I34" s="39" t="str">
        <x:v>Automation; vertical software; fintech</x:v>
      </x:c>
      <x:c r="J34" s="39" t="str">
        <x:v>Valoriza pensamento independente, humildade e capacidade de construir uma narrativa.</x:v>
      </x:c>
      <x:c r="K34" s="39" t="str">
        <x:v>Partilhar a tese contrarian numa frase e a evidência que te faria mudar de opinião.</x:v>
      </x:c>
      <x:c r="L34" s="39" t="str">
        <x:v>https://www.dawncapital.com/team/dan-chaplin</x:v>
      </x:c>
      <x:c r="M34" s="39" t="str">
        <x:v>Verificado</x:v>
      </x:c>
      <x:c r="N34" s="39" t="str">
        <x:v>Alta</x:v>
      </x:c>
      <x:c r="O34" s="39" t="str">
        <x:v>Alta</x:v>
      </x:c>
      <x:c r="P34" s="39" t="str">
        <x:v>Baixa</x:v>
      </x:c>
      <x:c r="Q34" s="39" t="str">
        <x:v>Referir a ideia ou conteúdo de forma concreta; não simular intimidade.</x:v>
      </x:c>
    </x:row>
    <x:row r="35" ht="40" customHeight="1">
      <x:c r="A35" s="39" t="str">
        <x:v>HOK0034</x:v>
      </x:c>
      <x:c r="B35" s="39" t="str">
        <x:v>INV014</x:v>
      </x:c>
      <x:c r="C35" s="39" t="str">
        <x:v>PER0112</x:v>
      </x:c>
      <x:c r="D35" s="39" t="str">
        <x:v>Octopus Ventures</x:v>
      </x:c>
      <x:c r="E35" s="39" t="str">
        <x:v>Paul Davidson</x:v>
      </x:c>
      <x:c r="F35" s="39" t="str">
        <x:v>Perfil</x:v>
      </x:c>
      <x:c r="G35" s="39" t="str">
        <x:v>SaaS across cybersecurity, AI, data and infrastructure</x:v>
      </x:c>
      <x:c r="H35" s="39" t="str"/>
      <x:c r="I35" s="39" t="str">
        <x:v>B2B SaaS</x:v>
      </x:c>
      <x:c r="J35" s="39" t="str">
        <x:v>Combina experiência de investimento com suporte a vendas, produto e pessoas.</x:v>
      </x:c>
      <x:c r="K35" s="39" t="str">
        <x:v>Apresentar o motor de crescimento SaaS e o gargalo operacional que o capital resolve.</x:v>
      </x:c>
      <x:c r="L35" s="39" t="str">
        <x:v>https://octopusventures.com/team/b2b-software/paul-davidson/</x:v>
      </x:c>
      <x:c r="M35" s="39" t="str">
        <x:v>Verificado</x:v>
      </x:c>
      <x:c r="N35" s="39" t="str">
        <x:v>Alta</x:v>
      </x:c>
      <x:c r="O35" s="39" t="str">
        <x:v>Alta</x:v>
      </x:c>
      <x:c r="P35" s="39" t="str">
        <x:v>Baixa</x:v>
      </x:c>
      <x:c r="Q35" s="39" t="str">
        <x:v>Referir a ideia ou conteúdo de forma concreta; não simular intimidade.</x:v>
      </x:c>
    </x:row>
    <x:row r="36" ht="40" customHeight="1">
      <x:c r="A36" s="39" t="str">
        <x:v>HOK0035</x:v>
      </x:c>
      <x:c r="B36" s="39" t="str">
        <x:v>INV014</x:v>
      </x:c>
      <x:c r="C36" s="39" t="str">
        <x:v>PER0113</x:v>
      </x:c>
      <x:c r="D36" s="39" t="str">
        <x:v>Octopus Ventures</x:v>
      </x:c>
      <x:c r="E36" s="39" t="str">
        <x:v>Will Gibbs</x:v>
      </x:c>
      <x:c r="F36" s="39" t="str">
        <x:v>Perfil</x:v>
      </x:c>
      <x:c r="G36" s="39" t="str">
        <x:v>Digital therapeutics and US health expansion</x:v>
      </x:c>
      <x:c r="H36" s="39" t="str"/>
      <x:c r="I36" s="39" t="str">
        <x:v>Health; US expansion</x:v>
      </x:c>
      <x:c r="J36" s="39" t="str">
        <x:v>Interesse em digital therapeutics, novos modelos e expansão para os EUA.</x:v>
      </x:c>
      <x:c r="K36" s="39" t="str">
        <x:v>Se healthtech, ligar evidência clínica, modelo de pagamento e plano de entrada nos EUA.</x:v>
      </x:c>
      <x:c r="L36" s="39" t="str">
        <x:v>https://octopusventures.com/team/health/will-gibbs/</x:v>
      </x:c>
      <x:c r="M36" s="39" t="str">
        <x:v>Verificado</x:v>
      </x:c>
      <x:c r="N36" s="39" t="str">
        <x:v>Alta</x:v>
      </x:c>
      <x:c r="O36" s="39" t="str">
        <x:v>Alta</x:v>
      </x:c>
      <x:c r="P36" s="39" t="str">
        <x:v>Baixa</x:v>
      </x:c>
      <x:c r="Q36" s="39" t="str">
        <x:v>Referir a ideia ou conteúdo de forma concreta; não simular intimidade.</x:v>
      </x:c>
    </x:row>
    <x:row r="37" ht="40" customHeight="1">
      <x:c r="A37" s="39" t="str">
        <x:v>HOK0036</x:v>
      </x:c>
      <x:c r="B37" s="39" t="str">
        <x:v>INV014</x:v>
      </x:c>
      <x:c r="C37" s="39" t="str">
        <x:v>PER0114</x:v>
      </x:c>
      <x:c r="D37" s="39" t="str">
        <x:v>Octopus Ventures</x:v>
      </x:c>
      <x:c r="E37" s="39" t="str">
        <x:v>Tosin Agbabiaka</x:v>
      </x:c>
      <x:c r="F37" s="39" t="str">
        <x:v>Perfil / artigos</x:v>
      </x:c>
      <x:c r="G37" s="39" t="str">
        <x:v>Fintech in a shifting global environment</x:v>
      </x:c>
      <x:c r="H37" s="39" t="str"/>
      <x:c r="I37" s="39" t="str">
        <x:v>Fintech; policy</x:v>
      </x:c>
      <x:c r="J37" s="39" t="str">
        <x:v>Carreira combina política pública, energia, direito e investimento fintech.</x:v>
      </x:c>
      <x:c r="K37" s="39" t="str">
        <x:v>Enquadrar a oportunidade regulatória como vantagem competitiva mensurável.</x:v>
      </x:c>
      <x:c r="L37" s="39" t="str">
        <x:v>https://octopusventures.com/team/fintech/tosin-agbabiaka/</x:v>
      </x:c>
      <x:c r="M37" s="39" t="str">
        <x:v>Verificado</x:v>
      </x:c>
      <x:c r="N37" s="39" t="str">
        <x:v>Alta</x:v>
      </x:c>
      <x:c r="O37" s="39" t="str">
        <x:v>Alta</x:v>
      </x:c>
      <x:c r="P37" s="39" t="str">
        <x:v>Baixa</x:v>
      </x:c>
      <x:c r="Q37" s="39" t="str">
        <x:v>Referir a ideia ou conteúdo de forma concreta; não simular intimidade.</x:v>
      </x:c>
    </x:row>
    <x:row r="38" ht="40" customHeight="1">
      <x:c r="A38" s="39" t="str">
        <x:v>HOK0037</x:v>
      </x:c>
      <x:c r="B38" s="39" t="str">
        <x:v>INV014</x:v>
      </x:c>
      <x:c r="C38" s="39" t="str">
        <x:v>PER0115</x:v>
      </x:c>
      <x:c r="D38" s="39" t="str">
        <x:v>Octopus Ventures</x:v>
      </x:c>
      <x:c r="E38" s="39" t="str">
        <x:v>Santiago Fernandez</x:v>
      </x:c>
      <x:c r="F38" s="39" t="str">
        <x:v>Perfil</x:v>
      </x:c>
      <x:c r="G38" s="39" t="str">
        <x:v>Scaling AI, SaaS and fintech from Series B to pre-IPO</x:v>
      </x:c>
      <x:c r="H38" s="39" t="str"/>
      <x:c r="I38" s="39" t="str">
        <x:v>Growth; fintech</x:v>
      </x:c>
      <x:c r="J38" s="39" t="str">
        <x:v>Apoia hiring, fundraising, M&amp;A e parcerias comerciais na fase de crescimento.</x:v>
      </x:c>
      <x:c r="K38" s="39" t="str">
        <x:v>Apresentar a métrica de escala e a decisão de organização necessária para a próxima fase.</x:v>
      </x:c>
      <x:c r="L38" s="39" t="str">
        <x:v>https://octopusventures.com/team/fintech/santiago-fernandez/</x:v>
      </x:c>
      <x:c r="M38" s="39" t="str">
        <x:v>Verificado</x:v>
      </x:c>
      <x:c r="N38" s="39" t="str">
        <x:v>Alta</x:v>
      </x:c>
      <x:c r="O38" s="39" t="str">
        <x:v>Alta</x:v>
      </x:c>
      <x:c r="P38" s="39" t="str">
        <x:v>Baixa</x:v>
      </x:c>
      <x:c r="Q38" s="39" t="str">
        <x:v>Referir a ideia ou conteúdo de forma concreta; não simular intimidade.</x:v>
      </x:c>
    </x:row>
    <x:row r="39" ht="40" customHeight="1">
      <x:c r="A39" s="39" t="str">
        <x:v>HOK0038</x:v>
      </x:c>
      <x:c r="B39" s="39" t="str">
        <x:v>INV014</x:v>
      </x:c>
      <x:c r="C39" s="39" t="str">
        <x:v>PER0116</x:v>
      </x:c>
      <x:c r="D39" s="39" t="str">
        <x:v>Octopus Ventures</x:v>
      </x:c>
      <x:c r="E39" s="39" t="str">
        <x:v>Theo Xydas</x:v>
      </x:c>
      <x:c r="F39" s="39" t="str">
        <x:v>Perfil</x:v>
      </x:c>
      <x:c r="G39" s="39" t="str">
        <x:v>Financial infrastructure and AI-enabled services</x:v>
      </x:c>
      <x:c r="H39" s="39" t="str"/>
      <x:c r="I39" s="39" t="str">
        <x:v>Growth fintech; AI</x:v>
      </x:c>
      <x:c r="J39" s="39" t="str">
        <x:v>Experiência em growth equity, Mouro Capital e Target Global.</x:v>
      </x:c>
      <x:c r="K39" s="39" t="str">
        <x:v>Ligar a infraestrutura financeira a um workflow que a IA torna finalmente automatizável.</x:v>
      </x:c>
      <x:c r="L39" s="39" t="str">
        <x:v>https://octopusventures.com/team/fintech/theo-xydas/</x:v>
      </x:c>
      <x:c r="M39" s="39" t="str">
        <x:v>Verificado</x:v>
      </x:c>
      <x:c r="N39" s="39" t="str">
        <x:v>Alta</x:v>
      </x:c>
      <x:c r="O39" s="39" t="str">
        <x:v>Alta</x:v>
      </x:c>
      <x:c r="P39" s="39" t="str">
        <x:v>Baixa</x:v>
      </x:c>
      <x:c r="Q39" s="39" t="str">
        <x:v>Referir a ideia ou conteúdo de forma concreta; não simular intimidade.</x:v>
      </x:c>
    </x:row>
    <x:row r="40" ht="40" customHeight="1">
      <x:c r="A40" s="39" t="str">
        <x:v>HOK0039</x:v>
      </x:c>
      <x:c r="B40" s="39" t="str">
        <x:v>INV015</x:v>
      </x:c>
      <x:c r="C40" s="39" t="str">
        <x:v>PER0120</x:v>
      </x:c>
      <x:c r="D40" s="39" t="str">
        <x:v>Notion Capital</x:v>
      </x:c>
      <x:c r="E40" s="39" t="str">
        <x:v>Jos White</x:v>
      </x:c>
      <x:c r="F40" s="39" t="str">
        <x:v>Artigo / retreat</x:v>
      </x:c>
      <x:c r="G40" s="39" t="str">
        <x:v>Platform supercycles and the AI age</x:v>
      </x:c>
      <x:c r="H40" s="39" t="str">
        <x:v>2025</x:v>
      </x:c>
      <x:c r="I40" s="39" t="str">
        <x:v>AI; market cycles</x:v>
      </x:c>
      <x:c r="J40" s="39" t="str">
        <x:v>Compara a vaga de IA com superciclos anteriores e procura efeitos não óbvios.</x:v>
      </x:c>
      <x:c r="K40" s="39" t="str">
        <x:v>Explicar qual efeito de segunda ordem da IA cria o teu mercado.</x:v>
      </x:c>
      <x:c r="L40" s="39" t="str">
        <x:v>https://www.notion.vc/resources/new-frontiers-reflections-from-the-notion-capital-founder-retreat-2025</x:v>
      </x:c>
      <x:c r="M40" s="39" t="str">
        <x:v>Verificado</x:v>
      </x:c>
      <x:c r="N40" s="39" t="str">
        <x:v>Alta</x:v>
      </x:c>
      <x:c r="O40" s="39" t="str">
        <x:v>Alta</x:v>
      </x:c>
      <x:c r="P40" s="39" t="str">
        <x:v>Baixa</x:v>
      </x:c>
      <x:c r="Q40" s="39" t="str">
        <x:v>Referir a ideia ou conteúdo de forma concreta; não simular intimidade.</x:v>
      </x:c>
    </x:row>
    <x:row r="41" ht="40" customHeight="1">
      <x:c r="A41" s="39" t="str">
        <x:v>HOK0040</x:v>
      </x:c>
      <x:c r="B41" s="39" t="str">
        <x:v>INV015</x:v>
      </x:c>
      <x:c r="C41" s="39" t="str">
        <x:v>PER0122</x:v>
      </x:c>
      <x:c r="D41" s="39" t="str">
        <x:v>Notion Capital</x:v>
      </x:c>
      <x:c r="E41" s="39" t="str">
        <x:v>Itxaso del Palacio</x:v>
      </x:c>
      <x:c r="F41" s="39" t="str">
        <x:v>Artigo</x:v>
      </x:c>
      <x:c r="G41" s="39" t="str">
        <x:v>Why we invested in TERN</x:v>
      </x:c>
      <x:c r="H41" s="39" t="str">
        <x:v>2025-09-10</x:v>
      </x:c>
      <x:c r="I41" s="39" t="str">
        <x:v>AI workforce; healthcare</x:v>
      </x:c>
      <x:c r="J41" s="39" t="str">
        <x:v>Vê potencial em plataformas AI-native que resolvem escassez estrutural de talento.</x:v>
      </x:c>
      <x:c r="K41" s="39" t="str">
        <x:v>Ligar o produto a um problema estrutural de mão de obra e receita recorrente.</x:v>
      </x:c>
      <x:c r="L41" s="39" t="str">
        <x:v>https://www.notion.vc/resources/why-we-invested-in-tern</x:v>
      </x:c>
      <x:c r="M41" s="39" t="str">
        <x:v>Verificado</x:v>
      </x:c>
      <x:c r="N41" s="39" t="str">
        <x:v>Alta</x:v>
      </x:c>
      <x:c r="O41" s="39" t="str">
        <x:v>Alta</x:v>
      </x:c>
      <x:c r="P41" s="39" t="str">
        <x:v>Baixa</x:v>
      </x:c>
      <x:c r="Q41" s="39" t="str">
        <x:v>Referir a ideia ou conteúdo de forma concreta; não simular intimidade.</x:v>
      </x:c>
    </x:row>
    <x:row r="42" ht="40" customHeight="1">
      <x:c r="A42" s="39" t="str">
        <x:v>HOK0041</x:v>
      </x:c>
      <x:c r="B42" s="39" t="str">
        <x:v>INV015</x:v>
      </x:c>
      <x:c r="C42" s="39" t="str">
        <x:v>PER0124</x:v>
      </x:c>
      <x:c r="D42" s="39" t="str">
        <x:v>Notion Capital</x:v>
      </x:c>
      <x:c r="E42" s="39" t="str">
        <x:v>Kamil Mieczakowski</x:v>
      </x:c>
      <x:c r="F42" s="39" t="str">
        <x:v>Artigo</x:v>
      </x:c>
      <x:c r="G42" s="39" t="str">
        <x:v>Why we invested in Upciti</x:v>
      </x:c>
      <x:c r="H42" s="39" t="str">
        <x:v>2025-10-16</x:v>
      </x:c>
      <x:c r="I42" s="39" t="str">
        <x:v>Physical AI; public infrastructure</x:v>
      </x:c>
      <x:c r="J42" s="39" t="str">
        <x:v>Tese em AI aplicada a cidades, sensores e dados fragmentados.</x:v>
      </x:c>
      <x:c r="K42" s="39" t="str">
        <x:v>Mostrar como dados heterogéneos se tornam um sistema de ação com ROI claro.</x:v>
      </x:c>
      <x:c r="L42" s="39" t="str">
        <x:v>https://www.notion.vc/resources/why-we-invested-in-upciti</x:v>
      </x:c>
      <x:c r="M42" s="39" t="str">
        <x:v>Verificado</x:v>
      </x:c>
      <x:c r="N42" s="39" t="str">
        <x:v>Alta</x:v>
      </x:c>
      <x:c r="O42" s="39" t="str">
        <x:v>Alta</x:v>
      </x:c>
      <x:c r="P42" s="39" t="str">
        <x:v>Baixa</x:v>
      </x:c>
      <x:c r="Q42" s="39" t="str">
        <x:v>Referir a ideia ou conteúdo de forma concreta; não simular intimidade.</x:v>
      </x:c>
    </x:row>
    <x:row r="43" ht="40" customHeight="1">
      <x:c r="A43" s="39" t="str">
        <x:v>HOK0042</x:v>
      </x:c>
      <x:c r="B43" s="39" t="str">
        <x:v>INV015</x:v>
      </x:c>
      <x:c r="C43" s="39" t="str">
        <x:v>PER0123</x:v>
      </x:c>
      <x:c r="D43" s="39" t="str">
        <x:v>Notion Capital</x:v>
      </x:c>
      <x:c r="E43" s="39" t="str">
        <x:v>Patrick Norris</x:v>
      </x:c>
      <x:c r="F43" s="39" t="str">
        <x:v>Artigo</x:v>
      </x:c>
      <x:c r="G43" s="39" t="str">
        <x:v>Quantum Systems and autonomous drones</x:v>
      </x:c>
      <x:c r="H43" s="39" t="str">
        <x:v>2024-09-24</x:v>
      </x:c>
      <x:c r="I43" s="39" t="str">
        <x:v>Defence; autonomous systems</x:v>
      </x:c>
      <x:c r="J43" s="39" t="str">
        <x:v>Procura product-market fit, procura do comprador e equipas com conhecimento do procurement.</x:v>
      </x:c>
      <x:c r="K43" s="39" t="str">
        <x:v>Se dual-use, mostrar acesso ao comprador, procurement e integração hardware-software.</x:v>
      </x:c>
      <x:c r="L43" s="39" t="str">
        <x:v>https://www.notion.vc/resources/why-notion-capital-invested-in-quantum-systems</x:v>
      </x:c>
      <x:c r="M43" s="39" t="str">
        <x:v>Verificado</x:v>
      </x:c>
      <x:c r="N43" s="39" t="str">
        <x:v>Alta</x:v>
      </x:c>
      <x:c r="O43" s="39" t="str">
        <x:v>Alta</x:v>
      </x:c>
      <x:c r="P43" s="39" t="str">
        <x:v>Baixa</x:v>
      </x:c>
      <x:c r="Q43" s="39" t="str">
        <x:v>Referir a ideia ou conteúdo de forma concreta; não simular intimidade.</x:v>
      </x:c>
    </x:row>
    <x:row r="44" ht="40" customHeight="1">
      <x:c r="A44" s="39" t="str">
        <x:v>HOK0043</x:v>
      </x:c>
      <x:c r="B44" s="39" t="str">
        <x:v>INV016</x:v>
      </x:c>
      <x:c r="C44" s="39" t="str">
        <x:v>PER0126</x:v>
      </x:c>
      <x:c r="D44" s="39" t="str">
        <x:v>Nauta Capital</x:v>
      </x:c>
      <x:c r="E44" s="39" t="str">
        <x:v>Carles Ferrer</x:v>
      </x:c>
      <x:c r="F44" s="39" t="str">
        <x:v>Perfil</x:v>
      </x:c>
      <x:c r="G44" s="39" t="str">
        <x:v>Security, SaaS and critical data-driven companies</x:v>
      </x:c>
      <x:c r="H44" s="39" t="str"/>
      <x:c r="I44" s="39" t="str">
        <x:v>B2B software</x:v>
      </x:c>
      <x:c r="J44" s="39" t="str">
        <x:v>Interesses incluem security, SaaS, analytics e empresas críticas baseadas em dados.</x:v>
      </x:c>
      <x:c r="K44" s="39" t="str">
        <x:v>Ligar o produto a um sistema crítico e explicar custo de substituição e qualidade dos dados.</x:v>
      </x:c>
      <x:c r="L44" s="39" t="str">
        <x:v>https://www.nautacapital.com/team</x:v>
      </x:c>
      <x:c r="M44" s="39" t="str">
        <x:v>Verificado</x:v>
      </x:c>
      <x:c r="N44" s="39" t="str">
        <x:v>Alta</x:v>
      </x:c>
      <x:c r="O44" s="39" t="str">
        <x:v>Alta</x:v>
      </x:c>
      <x:c r="P44" s="39" t="str">
        <x:v>Baixa</x:v>
      </x:c>
      <x:c r="Q44" s="39" t="str">
        <x:v>Referir a ideia ou conteúdo de forma concreta; não simular intimidade.</x:v>
      </x:c>
    </x:row>
    <x:row r="45" ht="40" customHeight="1">
      <x:c r="A45" s="39" t="str">
        <x:v>HOK0044</x:v>
      </x:c>
      <x:c r="B45" s="39" t="str">
        <x:v>INV016</x:v>
      </x:c>
      <x:c r="C45" s="39" t="str">
        <x:v>PER0128</x:v>
      </x:c>
      <x:c r="D45" s="39" t="str">
        <x:v>Nauta Capital</x:v>
      </x:c>
      <x:c r="E45" s="39" t="str">
        <x:v>Borja Breña</x:v>
      </x:c>
      <x:c r="F45" s="39" t="str">
        <x:v>Perfil</x:v>
      </x:c>
      <x:c r="G45" s="39" t="str">
        <x:v>Spain and Portugal opportunities</x:v>
      </x:c>
      <x:c r="H45" s="39" t="str"/>
      <x:c r="I45" s="39" t="str">
        <x:v>Iberia; software</x:v>
      </x:c>
      <x:c r="J45" s="39" t="str">
        <x:v>Experiência na Telefónica CVC, Kennet, Barclays e Deloitte.</x:v>
      </x:c>
      <x:c r="K45" s="39" t="str">
        <x:v>Mostrar por que a base ibérica permite uma expansão europeia rápida.</x:v>
      </x:c>
      <x:c r="L45" s="39" t="str">
        <x:v>https://www.nautacapital.com/team</x:v>
      </x:c>
      <x:c r="M45" s="39" t="str">
        <x:v>Verificado</x:v>
      </x:c>
      <x:c r="N45" s="39" t="str">
        <x:v>Alta</x:v>
      </x:c>
      <x:c r="O45" s="39" t="str">
        <x:v>Alta</x:v>
      </x:c>
      <x:c r="P45" s="39" t="str">
        <x:v>Baixa</x:v>
      </x:c>
      <x:c r="Q45" s="39" t="str">
        <x:v>Referir a ideia ou conteúdo de forma concreta; não simular intimidade.</x:v>
      </x:c>
    </x:row>
    <x:row r="46" ht="40" customHeight="1">
      <x:c r="A46" s="39" t="str">
        <x:v>HOK0045</x:v>
      </x:c>
      <x:c r="B46" s="39" t="str">
        <x:v>INV016</x:v>
      </x:c>
      <x:c r="C46" s="39" t="str">
        <x:v>PER0129</x:v>
      </x:c>
      <x:c r="D46" s="39" t="str">
        <x:v>Nauta Capital</x:v>
      </x:c>
      <x:c r="E46" s="39" t="str">
        <x:v>Conor Scanlan</x:v>
      </x:c>
      <x:c r="F46" s="39" t="str">
        <x:v>Perfil</x:v>
      </x:c>
      <x:c r="G46" s="39" t="str">
        <x:v>Seed+ and Series A B2B software</x:v>
      </x:c>
      <x:c r="H46" s="39" t="str"/>
      <x:c r="I46" s="39" t="str">
        <x:v>B2B software</x:v>
      </x:c>
      <x:c r="J46" s="39" t="str">
        <x:v>Passou por Octopus Ventures e Frog Capital antes da Nauta.</x:v>
      </x:c>
      <x:c r="K46" s="39" t="str">
        <x:v>Ligar o pedido ao marco entre seed e Series A e ao modelo SaaS.</x:v>
      </x:c>
      <x:c r="L46" s="39" t="str">
        <x:v>https://www.nautacapital.com/team</x:v>
      </x:c>
      <x:c r="M46" s="39" t="str">
        <x:v>Verificado</x:v>
      </x:c>
      <x:c r="N46" s="39" t="str">
        <x:v>Alta</x:v>
      </x:c>
      <x:c r="O46" s="39" t="str">
        <x:v>Alta</x:v>
      </x:c>
      <x:c r="P46" s="39" t="str">
        <x:v>Baixa</x:v>
      </x:c>
      <x:c r="Q46" s="39" t="str">
        <x:v>Referir a ideia ou conteúdo de forma concreta; não simular intimidade.</x:v>
      </x:c>
    </x:row>
    <x:row r="47" ht="40" customHeight="1">
      <x:c r="A47" s="39" t="str">
        <x:v>HOK0046</x:v>
      </x:c>
      <x:c r="B47" s="39" t="str">
        <x:v>INV016</x:v>
      </x:c>
      <x:c r="C47" s="39" t="str">
        <x:v>PER0131</x:v>
      </x:c>
      <x:c r="D47" s="39" t="str">
        <x:v>Nauta Capital</x:v>
      </x:c>
      <x:c r="E47" s="39" t="str">
        <x:v>Theo Wethered</x:v>
      </x:c>
      <x:c r="F47" s="39" t="str">
        <x:v>Perfil</x:v>
      </x:c>
      <x:c r="G47" s="39" t="str">
        <x:v>AI, data, fintech and supply chain</x:v>
      </x:c>
      <x:c r="H47" s="39" t="str"/>
      <x:c r="I47" s="39" t="str">
        <x:v>AI; data; fintech</x:v>
      </x:c>
      <x:c r="J47" s="39" t="str">
        <x:v>Experiência em startups, Molten Ventures, L.E.K. e criação de microbusiness.</x:v>
      </x:c>
      <x:c r="K47" s="39" t="str">
        <x:v>Mostrar um caso em que dados ou IA mudam a economia de uma cadeia operacional.</x:v>
      </x:c>
      <x:c r="L47" s="39" t="str">
        <x:v>https://www.nautacapital.com/team</x:v>
      </x:c>
      <x:c r="M47" s="39" t="str">
        <x:v>Verificado</x:v>
      </x:c>
      <x:c r="N47" s="39" t="str">
        <x:v>Alta</x:v>
      </x:c>
      <x:c r="O47" s="39" t="str">
        <x:v>Alta</x:v>
      </x:c>
      <x:c r="P47" s="39" t="str">
        <x:v>Baixa</x:v>
      </x:c>
      <x:c r="Q47" s="39" t="str">
        <x:v>Referir a ideia ou conteúdo de forma concreta; não simular intimidade.</x:v>
      </x:c>
    </x:row>
    <x:row r="48" ht="40" customHeight="1">
      <x:c r="A48" s="39" t="str">
        <x:v>HOK0047</x:v>
      </x:c>
      <x:c r="B48" s="39" t="str">
        <x:v>INV016</x:v>
      </x:c>
      <x:c r="C48" s="39" t="str">
        <x:v>PER0133</x:v>
      </x:c>
      <x:c r="D48" s="39" t="str">
        <x:v>Nauta Capital</x:v>
      </x:c>
      <x:c r="E48" s="39" t="str">
        <x:v>Stella Buhalis</x:v>
      </x:c>
      <x:c r="F48" s="39" t="str">
        <x:v>Perfil</x:v>
      </x:c>
      <x:c r="G48" s="39" t="str">
        <x:v>Relentless problem solvers</x:v>
      </x:c>
      <x:c r="H48" s="39" t="str"/>
      <x:c r="I48" s="39" t="str">
        <x:v>Fintech; future of work; healthcare</x:v>
      </x:c>
      <x:c r="J48" s="39" t="str">
        <x:v>Procura founders que resolvem problemas persistentemente e constroem equipas fortes.</x:v>
      </x:c>
      <x:c r="K48" s="39" t="str">
        <x:v>Partilhar a iteração mais difícil e a evidência de que a equipa aprende mais depressa.</x:v>
      </x:c>
      <x:c r="L48" s="39" t="str">
        <x:v>https://www.nautacapital.com/team</x:v>
      </x:c>
      <x:c r="M48" s="39" t="str">
        <x:v>Verificado</x:v>
      </x:c>
      <x:c r="N48" s="39" t="str">
        <x:v>Alta</x:v>
      </x:c>
      <x:c r="O48" s="39" t="str">
        <x:v>Alta</x:v>
      </x:c>
      <x:c r="P48" s="39" t="str">
        <x:v>Baixa</x:v>
      </x:c>
      <x:c r="Q48" s="39" t="str">
        <x:v>Referir a ideia ou conteúdo de forma concreta; não simular intimidade.</x:v>
      </x:c>
    </x:row>
    <x:row r="49" ht="40" customHeight="1">
      <x:c r="A49" s="39" t="str">
        <x:v>HOK0048</x:v>
      </x:c>
      <x:c r="B49" s="39" t="str">
        <x:v>INV017</x:v>
      </x:c>
      <x:c r="C49" s="39" t="str">
        <x:v>PER0135</x:v>
      </x:c>
      <x:c r="D49" s="39" t="str">
        <x:v>K Fund</x:v>
      </x:c>
      <x:c r="E49" s="39" t="str">
        <x:v>Iñaki Arrola</x:v>
      </x:c>
      <x:c r="F49" s="39" t="str">
        <x:v>Perfil</x:v>
      </x:c>
      <x:c r="G49" s="39" t="str">
        <x:v>Founder of coches.com and early angel</x:v>
      </x:c>
      <x:c r="H49" s="39" t="str"/>
      <x:c r="I49" s="39" t="str">
        <x:v>Marketplaces; founder empathy</x:v>
      </x:c>
      <x:c r="J49" s="39" t="str">
        <x:v>Construiu coches.com durante 16 anos e foi business angel antes da K Fund.</x:v>
      </x:c>
      <x:c r="K49" s="39" t="str">
        <x:v>Relacionar a conversa com uma decisão de longo prazo na construção de marketplace.</x:v>
      </x:c>
      <x:c r="L49" s="39" t="str">
        <x:v>https://www.kfund.vc/team</x:v>
      </x:c>
      <x:c r="M49" s="39" t="str">
        <x:v>Verificado</x:v>
      </x:c>
      <x:c r="N49" s="39" t="str">
        <x:v>Alta</x:v>
      </x:c>
      <x:c r="O49" s="39" t="str">
        <x:v>Alta</x:v>
      </x:c>
      <x:c r="P49" s="39" t="str">
        <x:v>Baixa</x:v>
      </x:c>
      <x:c r="Q49" s="39" t="str">
        <x:v>Referir a ideia ou conteúdo de forma concreta; não simular intimidade.</x:v>
      </x:c>
    </x:row>
    <x:row r="50" ht="40" customHeight="1">
      <x:c r="A50" s="39" t="str">
        <x:v>HOK0049</x:v>
      </x:c>
      <x:c r="B50" s="39" t="str">
        <x:v>INV017</x:v>
      </x:c>
      <x:c r="C50" s="39" t="str">
        <x:v>PER0136</x:v>
      </x:c>
      <x:c r="D50" s="39" t="str">
        <x:v>K Fund</x:v>
      </x:c>
      <x:c r="E50" s="39" t="str">
        <x:v>Carina Szpilka</x:v>
      </x:c>
      <x:c r="F50" s="39" t="str">
        <x:v>Perfil / podcast</x:v>
      </x:c>
      <x:c r="G50" s="39" t="str">
        <x:v>Customer-centric fintech and evolution of K</x:v>
      </x:c>
      <x:c r="H50" s="39" t="str"/>
      <x:c r="I50" s="39" t="str">
        <x:v>Fintech; customer experience</x:v>
      </x:c>
      <x:c r="J50" s="39" t="str">
        <x:v>Liderou ING Direct em França e Espanha e discute a evolução do fundo.</x:v>
      </x:c>
      <x:c r="K50" s="39" t="str">
        <x:v>Começar por uma mudança concreta na experiência financeira do cliente.</x:v>
      </x:c>
      <x:c r="L50" s="39" t="str">
        <x:v>https://www.kfund.vc/team</x:v>
      </x:c>
      <x:c r="M50" s="39" t="str">
        <x:v>Verificado</x:v>
      </x:c>
      <x:c r="N50" s="39" t="str">
        <x:v>Alta</x:v>
      </x:c>
      <x:c r="O50" s="39" t="str">
        <x:v>Alta</x:v>
      </x:c>
      <x:c r="P50" s="39" t="str">
        <x:v>Baixa</x:v>
      </x:c>
      <x:c r="Q50" s="39" t="str">
        <x:v>Referir a ideia ou conteúdo de forma concreta; não simular intimidade.</x:v>
      </x:c>
    </x:row>
    <x:row r="51" ht="40" customHeight="1">
      <x:c r="A51" s="39" t="str">
        <x:v>HOK0050</x:v>
      </x:c>
      <x:c r="B51" s="39" t="str">
        <x:v>INV017</x:v>
      </x:c>
      <x:c r="C51" s="39" t="str">
        <x:v>PER0137</x:v>
      </x:c>
      <x:c r="D51" s="39" t="str">
        <x:v>K Fund</x:v>
      </x:c>
      <x:c r="E51" s="39" t="str">
        <x:v>Pablo Ventura</x:v>
      </x:c>
      <x:c r="F51" s="39" t="str">
        <x:v>Perfil</x:v>
      </x:c>
      <x:c r="G51" s="39" t="str">
        <x:v>Dual-use and AI software for SMEs</x:v>
      </x:c>
      <x:c r="H51" s="39" t="str"/>
      <x:c r="I51" s="39" t="str">
        <x:v>Dual-use; SME software</x:v>
      </x:c>
      <x:c r="J51" s="39" t="str">
        <x:v>Ex-JME, com investimentos em Jobandtalent e Flywire.</x:v>
      </x:c>
      <x:c r="K51" s="39" t="str">
        <x:v>Se aplicável, ligar IA a um problema operacional de PME e a uma rota de distribuição.</x:v>
      </x:c>
      <x:c r="L51" s="39" t="str">
        <x:v>https://www.kfund.vc/team</x:v>
      </x:c>
      <x:c r="M51" s="39" t="str">
        <x:v>Verificado</x:v>
      </x:c>
      <x:c r="N51" s="39" t="str">
        <x:v>Alta</x:v>
      </x:c>
      <x:c r="O51" s="39" t="str">
        <x:v>Alta</x:v>
      </x:c>
      <x:c r="P51" s="39" t="str">
        <x:v>Baixa</x:v>
      </x:c>
      <x:c r="Q51" s="39" t="str">
        <x:v>Referir a ideia ou conteúdo de forma concreta; não simular intimidade.</x:v>
      </x:c>
    </x:row>
    <x:row r="52" ht="40" customHeight="1">
      <x:c r="A52" s="39" t="str">
        <x:v>HOK0051</x:v>
      </x:c>
      <x:c r="B52" s="39" t="str">
        <x:v>INV017</x:v>
      </x:c>
      <x:c r="C52" s="39" t="str">
        <x:v>PER0139</x:v>
      </x:c>
      <x:c r="D52" s="39" t="str">
        <x:v>K Fund</x:v>
      </x:c>
      <x:c r="E52" s="39" t="str">
        <x:v>Jaime Novoa</x:v>
      </x:c>
      <x:c r="F52" s="39" t="str">
        <x:v>Artigo / podcast</x:v>
      </x:c>
      <x:c r="G52" s="39" t="str">
        <x:v>Evolution from Spanish seed to Southern Europe and LatAm</x:v>
      </x:c>
      <x:c r="H52" s="39" t="str">
        <x:v>2024-02-27</x:v>
      </x:c>
      <x:c r="I52" s="39" t="str">
        <x:v>Fund strategy; ecosystem</x:v>
      </x:c>
      <x:c r="J52" s="39" t="str">
        <x:v>Explica a expansão de pre-seed/seed para Series A e novas geografias.</x:v>
      </x:c>
      <x:c r="K52" s="39" t="str">
        <x:v>Mostrar por que a empresa pode usar Iberia como ponte para outro mercado.</x:v>
      </x:c>
      <x:c r="L52" s="39" t="str">
        <x:v>https://www.kfund.vc/post/podkast-173-la-evolucion-de-k-de-pre-seed-seed-en-espana-a-series-a-en-sur-de-europa-y-latam</x:v>
      </x:c>
      <x:c r="M52" s="39" t="str">
        <x:v>Verificado</x:v>
      </x:c>
      <x:c r="N52" s="39" t="str">
        <x:v>Alta</x:v>
      </x:c>
      <x:c r="O52" s="39" t="str">
        <x:v>Alta</x:v>
      </x:c>
      <x:c r="P52" s="39" t="str">
        <x:v>Baixa</x:v>
      </x:c>
      <x:c r="Q52" s="39" t="str">
        <x:v>Referir a ideia ou conteúdo de forma concreta; não simular intimidade.</x:v>
      </x:c>
    </x:row>
    <x:row r="53" ht="40" customHeight="1">
      <x:c r="A53" s="39" t="str">
        <x:v>HOK0052</x:v>
      </x:c>
      <x:c r="B53" s="39" t="str">
        <x:v>INV017</x:v>
      </x:c>
      <x:c r="C53" s="39" t="str">
        <x:v>PER0137</x:v>
      </x:c>
      <x:c r="D53" s="39" t="str">
        <x:v>K Fund</x:v>
      </x:c>
      <x:c r="E53" s="39" t="str">
        <x:v>Pablo Ventura</x:v>
      </x:c>
      <x:c r="F53" s="39" t="str">
        <x:v>Artigo</x:v>
      </x:c>
      <x:c r="G53" s="39" t="str">
        <x:v>Kfund Tech Due Diligence guidebook</x:v>
      </x:c>
      <x:c r="H53" s="39" t="str">
        <x:v>2025-04-21</x:v>
      </x:c>
      <x:c r="I53" s="39" t="str">
        <x:v>Technical due diligence</x:v>
      </x:c>
      <x:c r="J53" s="39" t="str">
        <x:v>A K Fund adapta due diligence técnica ao estágio e avalia visão e capacidade do CTO.</x:v>
      </x:c>
      <x:c r="K53" s="39" t="str">
        <x:v>Antecipar arquitetura, riscos e plano de equipa técnica de acordo com o estágio.</x:v>
      </x:c>
      <x:c r="L53" s="39" t="str">
        <x:v>https://www.kfund.vc/post/kfund-tech-due-diligence</x:v>
      </x:c>
      <x:c r="M53" s="39" t="str">
        <x:v>Verificado</x:v>
      </x:c>
      <x:c r="N53" s="39" t="str">
        <x:v>Alta</x:v>
      </x:c>
      <x:c r="O53" s="39" t="str">
        <x:v>Alta</x:v>
      </x:c>
      <x:c r="P53" s="39" t="str">
        <x:v>Baixa</x:v>
      </x:c>
      <x:c r="Q53" s="39" t="str">
        <x:v>Referir a ideia ou conteúdo de forma concreta; não simular intimidade.</x:v>
      </x:c>
    </x:row>
    <x:row r="54" ht="40" customHeight="1">
      <x:c r="A54" s="39" t="str">
        <x:v>HOK0053</x:v>
      </x:c>
      <x:c r="B54" s="39" t="str">
        <x:v>INV018</x:v>
      </x:c>
      <x:c r="C54" s="39" t="str">
        <x:v>PER0145</x:v>
      </x:c>
      <x:c r="D54" s="39" t="str">
        <x:v>Samaipata</x:v>
      </x:c>
      <x:c r="E54" s="39" t="str">
        <x:v>Luis Garay</x:v>
      </x:c>
      <x:c r="F54" s="39" t="str">
        <x:v>Q&amp;A / tese</x:v>
      </x:c>
      <x:c r="G54" s="39" t="str">
        <x:v>The Founders Q&amp;A</x:v>
      </x:c>
      <x:c r="H54" s="39" t="str">
        <x:v>2024-10-24</x:v>
      </x:c>
      <x:c r="I54" s="39" t="str">
        <x:v>Network effects; fund fit</x:v>
      </x:c>
      <x:c r="J54" s="39" t="str">
        <x:v>Publica ticket, geografias e critérios de mercado, unit economics e cap table.</x:v>
      </x:c>
      <x:c r="K54" s="39" t="str">
        <x:v>Responder proativamente aos quatro critérios com números numa página.</x:v>
      </x:c>
      <x:c r="L54" s="39" t="str">
        <x:v>https://www.samaipata.vc/post/the-founders-q-a</x:v>
      </x:c>
      <x:c r="M54" s="39" t="str">
        <x:v>Verificado</x:v>
      </x:c>
      <x:c r="N54" s="39" t="str">
        <x:v>Alta</x:v>
      </x:c>
      <x:c r="O54" s="39" t="str">
        <x:v>Alta</x:v>
      </x:c>
      <x:c r="P54" s="39" t="str">
        <x:v>Baixa</x:v>
      </x:c>
      <x:c r="Q54" s="39" t="str">
        <x:v>Referir a ideia ou conteúdo de forma concreta; não simular intimidade.</x:v>
      </x:c>
    </x:row>
    <x:row r="55" ht="40" customHeight="1">
      <x:c r="A55" s="39" t="str">
        <x:v>HOK0054</x:v>
      </x:c>
      <x:c r="B55" s="39" t="str">
        <x:v>INV018</x:v>
      </x:c>
      <x:c r="C55" s="39" t="str">
        <x:v>PER0143</x:v>
      </x:c>
      <x:c r="D55" s="39" t="str">
        <x:v>Samaipata</x:v>
      </x:c>
      <x:c r="E55" s="39" t="str">
        <x:v>José del Barrio</x:v>
      </x:c>
      <x:c r="F55" s="39" t="str">
        <x:v>Perfil</x:v>
      </x:c>
      <x:c r="G55" s="39" t="str">
        <x:v>Founder of La Nevera Roja</x:v>
      </x:c>
      <x:c r="H55" s="39" t="str"/>
      <x:c r="I55" s="39" t="str">
        <x:v>Marketplaces; founder experience</x:v>
      </x:c>
      <x:c r="J55" s="39" t="str">
        <x:v>Construiu e vendeu uma plataforma de delivery antes de criar a Samaipata.</x:v>
      </x:c>
      <x:c r="K55" s="39" t="str">
        <x:v>Ligar o efeito de rede a um comportamento observado no marketplace.</x:v>
      </x:c>
      <x:c r="L55" s="39" t="str">
        <x:v>https://www.samaipata.vc/samaipata-team</x:v>
      </x:c>
      <x:c r="M55" s="39" t="str">
        <x:v>Verificado</x:v>
      </x:c>
      <x:c r="N55" s="39" t="str">
        <x:v>Alta</x:v>
      </x:c>
      <x:c r="O55" s="39" t="str">
        <x:v>Alta</x:v>
      </x:c>
      <x:c r="P55" s="39" t="str">
        <x:v>Baixa</x:v>
      </x:c>
      <x:c r="Q55" s="39" t="str">
        <x:v>Referir a ideia ou conteúdo de forma concreta; não simular intimidade.</x:v>
      </x:c>
    </x:row>
    <x:row r="56" ht="40" customHeight="1">
      <x:c r="A56" s="39" t="str">
        <x:v>HOK0055</x:v>
      </x:c>
      <x:c r="B56" s="39" t="str">
        <x:v>INV019</x:v>
      </x:c>
      <x:c r="C56" s="39" t="str">
        <x:v>PER0154</x:v>
      </x:c>
      <x:c r="D56" s="39" t="str">
        <x:v>Portugal Ventures</x:v>
      </x:c>
      <x:c r="E56" s="39" t="str">
        <x:v>Miguel Barbosa</x:v>
      </x:c>
      <x:c r="F56" s="39" t="str">
        <x:v>Perfil</x:v>
      </x:c>
      <x:c r="G56" s="39" t="str">
        <x:v>Tourism, hardware, IoT and industrial experience</x:v>
      </x:c>
      <x:c r="H56" s="39" t="str"/>
      <x:c r="I56" s="39" t="str">
        <x:v>Tourism; hardware; IoT</x:v>
      </x:c>
      <x:c r="J56" s="39" t="str">
        <x:v>Mais de 20 anos em VC, consultoria e telecomunicações.</x:v>
      </x:c>
      <x:c r="K56" s="39" t="str">
        <x:v>Mostrar claramente elegibilidade, hardware economics e expansão internacional.</x:v>
      </x:c>
      <x:c r="L56" s="39" t="str">
        <x:v>https://www.portugalventures.pt/en/member/miguel-barbosa/</x:v>
      </x:c>
      <x:c r="M56" s="39" t="str">
        <x:v>Verificado</x:v>
      </x:c>
      <x:c r="N56" s="39" t="str">
        <x:v>Alta</x:v>
      </x:c>
      <x:c r="O56" s="39" t="str">
        <x:v>Alta</x:v>
      </x:c>
      <x:c r="P56" s="39" t="str">
        <x:v>Baixa</x:v>
      </x:c>
      <x:c r="Q56" s="39" t="str">
        <x:v>Referir a ideia ou conteúdo de forma concreta; não simular intimidade.</x:v>
      </x:c>
    </x:row>
    <x:row r="57" ht="40" customHeight="1">
      <x:c r="A57" s="39" t="str">
        <x:v>HOK0056</x:v>
      </x:c>
      <x:c r="B57" s="39" t="str">
        <x:v>INV020</x:v>
      </x:c>
      <x:c r="C57" s="39" t="str">
        <x:v>PER0156</x:v>
      </x:c>
      <x:c r="D57" s="39" t="str">
        <x:v>Indico Capital Partners</x:v>
      </x:c>
      <x:c r="E57" s="39" t="str">
        <x:v>Stephan de Moraes</x:v>
      </x:c>
      <x:c r="F57" s="39" t="str">
        <x:v>Perfil</x:v>
      </x:c>
      <x:c r="G57" s="39" t="str">
        <x:v>From Caixa Capital to an independent Portuguese VC</x:v>
      </x:c>
      <x:c r="H57" s="39" t="str"/>
      <x:c r="I57" s="39" t="str">
        <x:v>Portugal-to-global</x:v>
      </x:c>
      <x:c r="J57" s="39" t="str">
        <x:v>Combina experiência de CEO e investimento em histórias tecnológicas portuguesas.</x:v>
      </x:c>
      <x:c r="K57" s="39" t="str">
        <x:v>Ligar talento português a uma categoria global e a um plano de financiamento disciplinado.</x:v>
      </x:c>
      <x:c r="L57" s="39" t="str">
        <x:v>https://www.indicocapital.com/about-us</x:v>
      </x:c>
      <x:c r="M57" s="39" t="str">
        <x:v>Verificado</x:v>
      </x:c>
      <x:c r="N57" s="39" t="str">
        <x:v>Alta</x:v>
      </x:c>
      <x:c r="O57" s="39" t="str">
        <x:v>Alta</x:v>
      </x:c>
      <x:c r="P57" s="39" t="str">
        <x:v>Baixa</x:v>
      </x:c>
      <x:c r="Q57" s="39" t="str">
        <x:v>Referir a ideia ou conteúdo de forma concreta; não simular intimidade.</x:v>
      </x:c>
    </x:row>
    <x:row r="58" ht="40" customHeight="1">
      <x:c r="A58" s="39" t="str">
        <x:v>HOK0057</x:v>
      </x:c>
      <x:c r="B58" s="39" t="str">
        <x:v>INV020</x:v>
      </x:c>
      <x:c r="C58" s="39" t="str">
        <x:v>PER0158</x:v>
      </x:c>
      <x:c r="D58" s="39" t="str">
        <x:v>Indico Capital Partners</x:v>
      </x:c>
      <x:c r="E58" s="39" t="str">
        <x:v>Cristina Fonseca</x:v>
      </x:c>
      <x:c r="F58" s="39" t="str">
        <x:v>Perfil / entrevista</x:v>
      </x:c>
      <x:c r="G58" s="39" t="str">
        <x:v>Founder of Talkdesk turned investor</x:v>
      </x:c>
      <x:c r="H58" s="39" t="str"/>
      <x:c r="I58" s="39" t="str">
        <x:v>Enterprise SaaS; AI</x:v>
      </x:c>
      <x:c r="J58" s="39" t="str">
        <x:v>Experiência direta de construir uma empresa SaaS global a partir de Portugal.</x:v>
      </x:c>
      <x:c r="K58" s="39" t="str">
        <x:v>Abrir com uma decisão de founder que só outro founder reconhecerá e uma métrica SaaS.</x:v>
      </x:c>
      <x:c r="L58" s="39" t="str">
        <x:v>https://www.indicocapital.com/about-us</x:v>
      </x:c>
      <x:c r="M58" s="39" t="str">
        <x:v>Verificado</x:v>
      </x:c>
      <x:c r="N58" s="39" t="str">
        <x:v>Alta</x:v>
      </x:c>
      <x:c r="O58" s="39" t="str">
        <x:v>Alta</x:v>
      </x:c>
      <x:c r="P58" s="39" t="str">
        <x:v>Baixa</x:v>
      </x:c>
      <x:c r="Q58" s="39" t="str">
        <x:v>Referir a ideia ou conteúdo de forma concreta; não simular intimidade.</x:v>
      </x:c>
    </x:row>
    <x:row r="59" ht="40" customHeight="1">
      <x:c r="A59" s="39" t="str">
        <x:v>HOK0058</x:v>
      </x:c>
      <x:c r="B59" s="39" t="str">
        <x:v>INV022</x:v>
      </x:c>
      <x:c r="C59" s="39" t="str">
        <x:v>PER0177</x:v>
      </x:c>
      <x:c r="D59" s="39" t="str">
        <x:v>Armilar Venture Partners</x:v>
      </x:c>
      <x:c r="E59" s="39" t="str">
        <x:v>Pedro Ribeiro Santos</x:v>
      </x:c>
      <x:c r="F59" s="39" t="str">
        <x:v>Artigo</x:v>
      </x:c>
      <x:c r="G59" s="39" t="str">
        <x:v>Armilar IV and the overlap of digital tech and hard science</x:v>
      </x:c>
      <x:c r="H59" s="39" t="str">
        <x:v>2025-11-05</x:v>
      </x:c>
      <x:c r="I59" s="39" t="str">
        <x:v>Deeptech; Series A</x:v>
      </x:c>
      <x:c r="J59" s="39" t="str">
        <x:v>Defende a passagem de validação para escala em B2B deeptech.</x:v>
      </x:c>
      <x:c r="K59" s="39" t="str">
        <x:v>Mostrar prova técnica, mercado global e o marco que transforma validação em escala.</x:v>
      </x:c>
      <x:c r="L59" s="39" t="str">
        <x:v>https://www.armilar.com/articles/armilar-announces-first-closing-of-fund-iv-with-eu120m-to-invest-in-disruptive-technologies-across-iberia-and-europe</x:v>
      </x:c>
      <x:c r="M59" s="39" t="str">
        <x:v>Verificado</x:v>
      </x:c>
      <x:c r="N59" s="39" t="str">
        <x:v>Alta</x:v>
      </x:c>
      <x:c r="O59" s="39" t="str">
        <x:v>Alta</x:v>
      </x:c>
      <x:c r="P59" s="39" t="str">
        <x:v>Baixa</x:v>
      </x:c>
      <x:c r="Q59" s="39" t="str">
        <x:v>Referir a ideia ou conteúdo de forma concreta; não simular intimidade.</x:v>
      </x:c>
    </x:row>
    <x:row r="60" ht="40" customHeight="1">
      <x:c r="A60" s="39" t="str">
        <x:v>HOK0059</x:v>
      </x:c>
      <x:c r="B60" s="39" t="str">
        <x:v>INV022</x:v>
      </x:c>
      <x:c r="C60" s="39" t="str">
        <x:v>PER0178</x:v>
      </x:c>
      <x:c r="D60" s="39" t="str">
        <x:v>Armilar Venture Partners</x:v>
      </x:c>
      <x:c r="E60" s="39" t="str">
        <x:v>Duarte Mineiro</x:v>
      </x:c>
      <x:c r="F60" s="39" t="str">
        <x:v>Artigo</x:v>
      </x:c>
      <x:c r="G60" s="39" t="str">
        <x:v>Armilar IV: Iberia and Europe</x:v>
      </x:c>
      <x:c r="H60" s="39" t="str">
        <x:v>2025-11-05</x:v>
      </x:c>
      <x:c r="I60" s="39" t="str">
        <x:v>Iberia; deeptech</x:v>
      </x:c>
      <x:c r="J60" s="39" t="str">
        <x:v>Sublinha talento, I&amp;D e redução de capacidade de capital como oportunidade.</x:v>
      </x:c>
      <x:c r="K60" s="39" t="str">
        <x:v>Ligar I&amp;D ibérica a uma vantagem comercial europeia concreta.</x:v>
      </x:c>
      <x:c r="L60" s="39" t="str">
        <x:v>https://www.armilar.com/articles/armilar-announces-first-closing-of-fund-iv-with-eu120m-to-invest-in-disruptive-technologies-across-iberia-and-europe</x:v>
      </x:c>
      <x:c r="M60" s="39" t="str">
        <x:v>Verificado</x:v>
      </x:c>
      <x:c r="N60" s="39" t="str">
        <x:v>Alta</x:v>
      </x:c>
      <x:c r="O60" s="39" t="str">
        <x:v>Alta</x:v>
      </x:c>
      <x:c r="P60" s="39" t="str">
        <x:v>Baixa</x:v>
      </x:c>
      <x:c r="Q60" s="39" t="str">
        <x:v>Referir a ideia ou conteúdo de forma concreta; não simular intimidade.</x:v>
      </x:c>
    </x:row>
    <x:row r="61" ht="40" customHeight="1">
      <x:c r="A61" s="39" t="str">
        <x:v>HOK0060</x:v>
      </x:c>
      <x:c r="B61" s="39" t="str">
        <x:v>INV025</x:v>
      </x:c>
      <x:c r="C61" s="39" t="str">
        <x:v>PER0198</x:v>
      </x:c>
      <x:c r="D61" s="39" t="str">
        <x:v>Connect Ventures</x:v>
      </x:c>
      <x:c r="E61" s="39" t="str">
        <x:v>Pietro Bezza</x:v>
      </x:c>
      <x:c r="F61" s="39" t="str">
        <x:v>Artigo</x:v>
      </x:c>
      <x:c r="G61" s="39" t="str">
        <x:v>Investment decisions at Connect</x:v>
      </x:c>
      <x:c r="H61" s="39" t="str"/>
      <x:c r="I61" s="39" t="str">
        <x:v>Investment process</x:v>
      </x:c>
      <x:c r="J61" s="39" t="str">
        <x:v>A decisão é unânime entre três partners, após memo e reunião longa com founders.</x:v>
      </x:c>
      <x:c r="K61" s="39" t="str">
        <x:v>Enviar um memo curto com factos e tese subjetiva claramente separados.</x:v>
      </x:c>
      <x:c r="L61" s="39" t="str">
        <x:v>https://www.connectventures.co/opinions/investment-decisions-at-connect</x:v>
      </x:c>
      <x:c r="M61" s="39" t="str">
        <x:v>Verificado</x:v>
      </x:c>
      <x:c r="N61" s="39" t="str">
        <x:v>Alta</x:v>
      </x:c>
      <x:c r="O61" s="39" t="str">
        <x:v>Alta</x:v>
      </x:c>
      <x:c r="P61" s="39" t="str">
        <x:v>Baixa</x:v>
      </x:c>
      <x:c r="Q61" s="39" t="str">
        <x:v>Referir a ideia ou conteúdo de forma concreta; não simular intimidade.</x:v>
      </x:c>
    </x:row>
    <x:row r="62" ht="40" customHeight="1">
      <x:c r="A62" s="39" t="str">
        <x:v>HOK0061</x:v>
      </x:c>
      <x:c r="B62" s="39" t="str">
        <x:v>INV025</x:v>
      </x:c>
      <x:c r="C62" s="39" t="str">
        <x:v>PER0199</x:v>
      </x:c>
      <x:c r="D62" s="39" t="str">
        <x:v>Connect Ventures</x:v>
      </x:c>
      <x:c r="E62" s="39" t="str">
        <x:v>Sitar Teli</x:v>
      </x:c>
      <x:c r="F62" s="39" t="str">
        <x:v>Artigo / tese</x:v>
      </x:c>
      <x:c r="G62" s="39" t="str">
        <x:v>The Connect Ventures Thesis</x:v>
      </x:c>
      <x:c r="H62" s="39" t="str"/>
      <x:c r="I62" s="39" t="str">
        <x:v>Product-led companies</x:v>
      </x:c>
      <x:c r="J62" s="39" t="str">
        <x:v>Avalia market size, equipa, GTM, modelo e product love com alta convicção.</x:v>
      </x:c>
      <x:c r="K62" s="39" t="str">
        <x:v>Mostrar evidência de amor pelo produto e por que o mercado pode ser muito maior.</x:v>
      </x:c>
      <x:c r="L62" s="39" t="str">
        <x:v>https://www.connectventures.co/opinions/the-connect-ventures-thesis-part-2</x:v>
      </x:c>
      <x:c r="M62" s="39" t="str">
        <x:v>Verificado</x:v>
      </x:c>
      <x:c r="N62" s="39" t="str">
        <x:v>Alta</x:v>
      </x:c>
      <x:c r="O62" s="39" t="str">
        <x:v>Alta</x:v>
      </x:c>
      <x:c r="P62" s="39" t="str">
        <x:v>Baixa</x:v>
      </x:c>
      <x:c r="Q62" s="39" t="str">
        <x:v>Referir a ideia ou conteúdo de forma concreta; não simular intimidade.</x:v>
      </x:c>
    </x:row>
    <x:row r="63" ht="40" customHeight="1">
      <x:c r="A63" s="39" t="str">
        <x:v>HOK0062</x:v>
      </x:c>
      <x:c r="B63" s="39" t="str">
        <x:v>INV025</x:v>
      </x:c>
      <x:c r="C63" s="39" t="str">
        <x:v>PER0200</x:v>
      </x:c>
      <x:c r="D63" s="39" t="str">
        <x:v>Connect Ventures</x:v>
      </x:c>
      <x:c r="E63" s="39" t="str">
        <x:v>Rory Stirling</x:v>
      </x:c>
      <x:c r="F63" s="39" t="str">
        <x:v>Artigo</x:v>
      </x:c>
      <x:c r="G63" s="39" t="str">
        <x:v>Investing in Nexcade</x:v>
      </x:c>
      <x:c r="H63" s="39" t="str">
        <x:v>2025-10-08</x:v>
      </x:c>
      <x:c r="I63" s="39" t="str">
        <x:v>AI for logistics</x:v>
      </x:c>
      <x:c r="J63" s="39" t="str">
        <x:v>Valoriza insiders com perspetiva de outsider e automação de trabalho não estruturado.</x:v>
      </x:c>
      <x:c r="K63" s="39" t="str">
        <x:v>Explicar o workflow caótico que a equipa viveu e a automação que agora é possível.</x:v>
      </x:c>
      <x:c r="L63" s="39" t="str">
        <x:v>https://www.connectventures.co/opinions/investing-in-nexcade</x:v>
      </x:c>
      <x:c r="M63" s="39" t="str">
        <x:v>Verificado</x:v>
      </x:c>
      <x:c r="N63" s="39" t="str">
        <x:v>Alta</x:v>
      </x:c>
      <x:c r="O63" s="39" t="str">
        <x:v>Alta</x:v>
      </x:c>
      <x:c r="P63" s="39" t="str">
        <x:v>Baixa</x:v>
      </x:c>
      <x:c r="Q63" s="39" t="str">
        <x:v>Referir a ideia ou conteúdo de forma concreta; não simular intimidade.</x:v>
      </x:c>
    </x:row>
    <x:row r="64" ht="40" customHeight="1">
      <x:c r="A64" s="39" t="str">
        <x:v>HOK0063</x:v>
      </x:c>
      <x:c r="B64" s="39" t="str">
        <x:v>INV025</x:v>
      </x:c>
      <x:c r="C64" s="39" t="str">
        <x:v>PER0198</x:v>
      </x:c>
      <x:c r="D64" s="39" t="str">
        <x:v>Connect Ventures</x:v>
      </x:c>
      <x:c r="E64" s="39" t="str">
        <x:v>Pietro Bezza</x:v>
      </x:c>
      <x:c r="F64" s="39" t="str">
        <x:v>Artigo</x:v>
      </x:c>
      <x:c r="G64" s="39" t="str">
        <x:v>Investing in Ewake</x:v>
      </x:c>
      <x:c r="H64" s="39" t="str">
        <x:v>2025-10-07</x:v>
      </x:c>
      <x:c r="I64" s="39" t="str">
        <x:v>AI reliability</x:v>
      </x:c>
      <x:c r="J64" s="39" t="str">
        <x:v>Procura founders com dor vivida e agentes que atuam no fluxo real de trabalho.</x:v>
      </x:c>
      <x:c r="K64" s="39" t="str">
        <x:v>Começar pela dor operacional pessoal e demonstrar resolução no ambiente do cliente.</x:v>
      </x:c>
      <x:c r="L64" s="39" t="str">
        <x:v>https://www.connectventures.co/opinions/investing-in-ewake-engineers-best-friend-for-software-reliability</x:v>
      </x:c>
      <x:c r="M64" s="39" t="str">
        <x:v>Verificado</x:v>
      </x:c>
      <x:c r="N64" s="39" t="str">
        <x:v>Alta</x:v>
      </x:c>
      <x:c r="O64" s="39" t="str">
        <x:v>Alta</x:v>
      </x:c>
      <x:c r="P64" s="39" t="str">
        <x:v>Baixa</x:v>
      </x:c>
      <x:c r="Q64" s="39" t="str">
        <x:v>Referir a ideia ou conteúdo de forma concreta; não simular intimidade.</x:v>
      </x:c>
    </x:row>
    <x:row r="65" ht="40" customHeight="1">
      <x:c r="A65" s="39" t="str">
        <x:v>HOK0064</x:v>
      </x:c>
      <x:c r="B65" s="39" t="str">
        <x:v>INV027</x:v>
      </x:c>
      <x:c r="C65" s="39" t="str">
        <x:v>PER0209</x:v>
      </x:c>
      <x:c r="D65" s="39" t="str">
        <x:v>Partech</x:v>
      </x:c>
      <x:c r="E65" s="39" t="str">
        <x:v>Romain Lavault</x:v>
      </x:c>
      <x:c r="F65" s="39" t="str">
        <x:v>Perfil</x:v>
      </x:c>
      <x:c r="G65" s="39" t="str">
        <x:v>Rocket scientist and founder leading Seed</x:v>
      </x:c>
      <x:c r="H65" s="39" t="str"/>
      <x:c r="I65" s="39" t="str">
        <x:v>AI; deeptech; enterprise</x:v>
      </x:c>
      <x:c r="J65" s="39" t="str">
        <x:v>Criou a atividade Seed e investe em frontier tech e software.</x:v>
      </x:c>
      <x:c r="K65" s="39" t="str">
        <x:v>Ser tecnicamente específico e explicar por que o problema precisa de uma nova categoria.</x:v>
      </x:c>
      <x:c r="L65" s="39" t="str">
        <x:v>https://partechpartners.com/team/romain-lavault</x:v>
      </x:c>
      <x:c r="M65" s="39" t="str">
        <x:v>Verificado</x:v>
      </x:c>
      <x:c r="N65" s="39" t="str">
        <x:v>Alta</x:v>
      </x:c>
      <x:c r="O65" s="39" t="str">
        <x:v>Alta</x:v>
      </x:c>
      <x:c r="P65" s="39" t="str">
        <x:v>Baixa</x:v>
      </x:c>
      <x:c r="Q65" s="39" t="str">
        <x:v>Referir a ideia ou conteúdo de forma concreta; não simular intimidade.</x:v>
      </x:c>
    </x:row>
    <x:row r="66" ht="40" customHeight="1">
      <x:c r="A66" s="39" t="str">
        <x:v>HOK0065</x:v>
      </x:c>
      <x:c r="B66" s="39" t="str">
        <x:v>INV027</x:v>
      </x:c>
      <x:c r="C66" s="39" t="str">
        <x:v>PER0210</x:v>
      </x:c>
      <x:c r="D66" s="39" t="str">
        <x:v>Partech</x:v>
      </x:c>
      <x:c r="E66" s="39" t="str">
        <x:v>Boris Golden</x:v>
      </x:c>
      <x:c r="F66" s="39" t="str">
        <x:v>Perfil</x:v>
      </x:c>
      <x:c r="G66" s="39" t="str">
        <x:v>Novel and hybrid models without playbooks</x:v>
      </x:c>
      <x:c r="H66" s="39" t="str"/>
      <x:c r="I66" s="39" t="str">
        <x:v>Seed; hybrid models</x:v>
      </x:c>
      <x:c r="J66" s="39" t="str">
        <x:v>Procura modelos novos onde não há playbook e atua como advisor hands-on.</x:v>
      </x:c>
      <x:c r="K66" s="39" t="str">
        <x:v>Mostrar por que os modelos comparáveis falham e qual learning loop substitui o playbook.</x:v>
      </x:c>
      <x:c r="L66" s="39" t="str">
        <x:v>https://partechpartners.com/team/boris-golden</x:v>
      </x:c>
      <x:c r="M66" s="39" t="str">
        <x:v>Verificado</x:v>
      </x:c>
      <x:c r="N66" s="39" t="str">
        <x:v>Alta</x:v>
      </x:c>
      <x:c r="O66" s="39" t="str">
        <x:v>Alta</x:v>
      </x:c>
      <x:c r="P66" s="39" t="str">
        <x:v>Baixa</x:v>
      </x:c>
      <x:c r="Q66" s="39" t="str">
        <x:v>Referir a ideia ou conteúdo de forma concreta; não simular intimidade.</x:v>
      </x:c>
    </x:row>
    <x:row r="67" ht="40" customHeight="1">
      <x:c r="A67" s="39" t="str">
        <x:v>HOK0066</x:v>
      </x:c>
      <x:c r="B67" s="39" t="str">
        <x:v>INV027</x:v>
      </x:c>
      <x:c r="C67" s="39" t="str">
        <x:v>PER0211</x:v>
      </x:c>
      <x:c r="D67" s="39" t="str">
        <x:v>Partech</x:v>
      </x:c>
      <x:c r="E67" s="39" t="str">
        <x:v>Réza Malekzadeh</x:v>
      </x:c>
      <x:c r="F67" s="39" t="str">
        <x:v>Perfil</x:v>
      </x:c>
      <x:c r="G67" s="39" t="str">
        <x:v>Operator in VMware and two startup exits</x:v>
      </x:c>
      <x:c r="H67" s="39" t="str"/>
      <x:c r="I67" s="39" t="str">
        <x:v>Enterprise software</x:v>
      </x:c>
      <x:c r="J67" s="39" t="str">
        <x:v>Experiência em vendas, marketing e operações, incluindo VMware e duas startups.</x:v>
      </x:c>
      <x:c r="K67" s="39" t="str">
        <x:v>Ligar a inovação ao plano comercial enterprise e à expansão internacional.</x:v>
      </x:c>
      <x:c r="L67" s="39" t="str">
        <x:v>https://partechpartners.com/team/reza-malekzadeh</x:v>
      </x:c>
      <x:c r="M67" s="39" t="str">
        <x:v>Verificado</x:v>
      </x:c>
      <x:c r="N67" s="39" t="str">
        <x:v>Alta</x:v>
      </x:c>
      <x:c r="O67" s="39" t="str">
        <x:v>Alta</x:v>
      </x:c>
      <x:c r="P67" s="39" t="str">
        <x:v>Baixa</x:v>
      </x:c>
      <x:c r="Q67" s="39" t="str">
        <x:v>Referir a ideia ou conteúdo de forma concreta; não simular intimidade.</x:v>
      </x:c>
    </x:row>
    <x:row r="68" ht="40" customHeight="1">
      <x:c r="A68" s="39" t="str">
        <x:v>HOK0067</x:v>
      </x:c>
      <x:c r="B68" s="39" t="str">
        <x:v>INV027</x:v>
      </x:c>
      <x:c r="C68" s="39" t="str">
        <x:v>PER0212</x:v>
      </x:c>
      <x:c r="D68" s="39" t="str">
        <x:v>Partech</x:v>
      </x:c>
      <x:c r="E68" s="39" t="str">
        <x:v>Alison Imbert</x:v>
      </x:c>
      <x:c r="F68" s="39" t="str">
        <x:v>Promoção / perfil</x:v>
      </x:c>
      <x:c r="G68" s="39" t="str">
        <x:v>Backing founders pre-product and pre-revenue</x:v>
      </x:c>
      <x:c r="H68" s="39" t="str">
        <x:v>2025-07-07</x:v>
      </x:c>
      <x:c r="I68" s="39" t="str">
        <x:v>Seed; data; fintech</x:v>
      </x:c>
      <x:c r="J68" s="39" t="str">
        <x:v>Reconhecida por identificar founders muito cedo e por investimentos seed.</x:v>
      </x:c>
      <x:c r="K68" s="39" t="str">
        <x:v>Apresentar insight de founder, aprendizagem pré-produto e prova mínima de procura.</x:v>
      </x:c>
      <x:c r="L68" s="39" t="str">
        <x:v>https://partechpartners.com/news/partech-announces-promotions-across-investment-teams</x:v>
      </x:c>
      <x:c r="M68" s="39" t="str">
        <x:v>Verificado</x:v>
      </x:c>
      <x:c r="N68" s="39" t="str">
        <x:v>Alta</x:v>
      </x:c>
      <x:c r="O68" s="39" t="str">
        <x:v>Alta</x:v>
      </x:c>
      <x:c r="P68" s="39" t="str">
        <x:v>Baixa</x:v>
      </x:c>
      <x:c r="Q68" s="39" t="str">
        <x:v>Referir a ideia ou conteúdo de forma concreta; não simular intimidade.</x:v>
      </x:c>
    </x:row>
    <x:row r="69" ht="112" customHeight="1">
      <x:c r="A69" s="39" t="str">
        <x:v>HOK0068</x:v>
      </x:c>
      <x:c r="B69" s="39" t="str">
        <x:v>INV028</x:v>
      </x:c>
      <x:c r="C69" s="39" t="str">
        <x:v>PER0216</x:v>
      </x:c>
      <x:c r="D69" s="39" t="str">
        <x:v>Korys</x:v>
      </x:c>
      <x:c r="E69" s="39" t="str">
        <x:v>Dries Crevits</x:v>
      </x:c>
      <x:c r="F69" s="39" t="str">
        <x:v>Entrevista institucional</x:v>
      </x:c>
      <x:c r="G69" s="39" t="str">
        <x:v>Korys’ sustainability journey: from the initial spark to future realities.</x:v>
      </x:c>
      <x:c r="H69" s="39" t="str"/>
      <x:c r="I69" s="39" t="str">
        <x:v>Sustentabilidade; capital paciente</x:v>
      </x:c>
      <x:c r="J69" s="39" t="str">
        <x:v>Explica a preferência por investimento com propósito, horizonte longo e impacto observável.</x:v>
      </x:c>
      <x:c r="K69" s="39" t="str">
        <x:v>Explicar que mudança mensurável o projeto produz em cinco anos e perguntar qual prova inicial justificaria capital paciente.</x:v>
      </x:c>
      <x:c r="L69" s="39" t="str">
        <x:v>https://korys.be/korys-sustainability-journey-from-the-initial-spark-to-future-realities/</x:v>
      </x:c>
      <x:c r="M69" s="39" t="str">
        <x:v>Verificado</x:v>
      </x:c>
      <x:c r="N69" s="39" t="str">
        <x:v>Alta</x:v>
      </x:c>
      <x:c r="O69" s="39" t="str">
        <x:v>Avaliar contexto</x:v>
      </x:c>
      <x:c r="P69" s="39" t="str">
        <x:v>Baixa</x:v>
      </x:c>
      <x:c r="Q69" s="39" t="str">
        <x:v>Declaração pessoal.  Sugestão de abordagem redigida por nós, não citação. Fonte consultada em 2026-09-09. Lote 2.</x:v>
      </x:c>
    </x:row>
    <x:row r="70" ht="112" customHeight="1">
      <x:c r="A70" s="39" t="str">
        <x:v>HOK0069</x:v>
      </x:c>
      <x:c r="B70" s="39" t="str">
        <x:v>INV028</x:v>
      </x:c>
      <x:c r="C70" s="39" t="str">
        <x:v>PER0216</x:v>
      </x:c>
      <x:c r="D70" s="39" t="str">
        <x:v>Korys</x:v>
      </x:c>
      <x:c r="E70" s="39" t="str">
        <x:v>Dries Crevits</x:v>
      </x:c>
      <x:c r="F70" s="39" t="str">
        <x:v>Entrevista / caso de investimento</x:v>
      </x:c>
      <x:c r="G70" s="39" t="str">
        <x:v>The three secret ingredients in the D-drinks recipe</x:v>
      </x:c>
      <x:c r="H70" s="39" t="str"/>
      <x:c r="I70" s="39" t="str">
        <x:v>Foodtech; distribuição</x:v>
      </x:c>
      <x:c r="J70" s="39" t="str">
        <x:v>Apresenta distribuidores como plataformas para levar marcas alimentares inovadoras ao mercado.</x:v>
      </x:c>
      <x:c r="K70" s="39" t="str">
        <x:v>Relacionar o canal de distribuição com o custo de conquistar cada mercado; perguntar se a vantagem deve estar na marca ou na infraestrutura comercial.</x:v>
      </x:c>
      <x:c r="L70" s="39" t="str">
        <x:v>https://korys.be/the-three-secret-ingredients-in-the-d-drinks-recipe/</x:v>
      </x:c>
      <x:c r="M70" s="39" t="str">
        <x:v>Verificado</x:v>
      </x:c>
      <x:c r="N70" s="39" t="str">
        <x:v>Alta</x:v>
      </x:c>
      <x:c r="O70" s="39" t="str">
        <x:v>Avaliar contexto</x:v>
      </x:c>
      <x:c r="P70" s="39" t="str">
        <x:v>Baixa</x:v>
      </x:c>
      <x:c r="Q70" s="39" t="str">
        <x:v>Declaração pessoal.  Sugestão de abordagem redigida por nós, não citação. Fonte consultada em 2026-09-09. Lote 2.</x:v>
      </x:c>
    </x:row>
    <x:row r="71" ht="112" customHeight="1">
      <x:c r="A71" s="39" t="str">
        <x:v>HOK0070</x:v>
      </x:c>
      <x:c r="B71" s="39" t="str">
        <x:v>INV028</x:v>
      </x:c>
      <x:c r="C71" s="39" t="str">
        <x:v>PER0217</x:v>
      </x:c>
      <x:c r="D71" s="39" t="str">
        <x:v>Korys</x:v>
      </x:c>
      <x:c r="E71" s="39" t="str">
        <x:v>Hilde Van der Straeten</x:v>
      </x:c>
      <x:c r="F71" s="39" t="str">
        <x:v>Perfil oficial</x:v>
      </x:c>
      <x:c r="G71" s="39" t="str">
        <x:v>Hilde Van der Straeten — Conscious Consumer</x:v>
      </x:c>
      <x:c r="H71" s="39" t="str"/>
      <x:c r="I71" s="39" t="str">
        <x:v>Consumo; conveniência</x:v>
      </x:c>
      <x:c r="J71" s="39" t="str">
        <x:v>Procura benefícios para saúde e sustentabilidade sem sacrificar conveniência.</x:v>
      </x:c>
      <x:c r="K71" s="39" t="str">
        <x:v>Mostrar dados de utilização que provem que a alternativa responsável é tão conveniente como a atual.</x:v>
      </x:c>
      <x:c r="L71" s="39" t="str">
        <x:v>https://korys.be/our-team/</x:v>
      </x:c>
      <x:c r="M71" s="39" t="str">
        <x:v>Verificado</x:v>
      </x:c>
      <x:c r="N71" s="39" t="str">
        <x:v>Alta</x:v>
      </x:c>
      <x:c r="O71" s="39" t="str">
        <x:v>Avaliar contexto</x:v>
      </x:c>
      <x:c r="P71" s="39" t="str">
        <x:v>Baixa</x:v>
      </x:c>
      <x:c r="Q71" s="39" t="str">
        <x:v>Perfil institucional.  Sugestão de abordagem redigida por nós, não citação. Fonte consultada em 2026-09-09. Lote 2.</x:v>
      </x:c>
    </x:row>
    <x:row r="72" ht="112" customHeight="1">
      <x:c r="A72" s="39" t="str">
        <x:v>HOK0071</x:v>
      </x:c>
      <x:c r="B72" s="39" t="str">
        <x:v>INV028</x:v>
      </x:c>
      <x:c r="C72" s="39" t="str">
        <x:v>PER0218</x:v>
      </x:c>
      <x:c r="D72" s="39" t="str">
        <x:v>Korys</x:v>
      </x:c>
      <x:c r="E72" s="39" t="str">
        <x:v>Quentin Dupont</x:v>
      </x:c>
      <x:c r="F72" s="39" t="str">
        <x:v>Declaração em anúncio</x:v>
      </x:c>
      <x:c r="G72" s="39" t="str">
        <x:v>Greenely secures €8 million in Series A funding, led by Korys</x:v>
      </x:c>
      <x:c r="H72" s="39" t="str"/>
      <x:c r="I72" s="39" t="str">
        <x:v>Energia; VPP; expansão</x:v>
      </x:c>
      <x:c r="J72" s="39" t="str">
        <x:v>Declaração conjunta com Brieuc de Hults apoia a expansão da Greenely e a mudança no consumo doméstico de energia.</x:v>
      </x:c>
      <x:c r="K72" s="39" t="str">
        <x:v>Partir da Greenely para perguntar que evidência de adoção doméstica e flexibilidade energética espera antes da expansão geográfica.</x:v>
      </x:c>
      <x:c r="L72" s="39" t="str">
        <x:v>https://korys.be/pers/greenely-secures-e8-million-in-series-a-funding-led-by-korys-to-enhance-household-energy-optimization-and-expand-its-residential-virtual-power-plant-platform/</x:v>
      </x:c>
      <x:c r="M72" s="39" t="str">
        <x:v>Verificado</x:v>
      </x:c>
      <x:c r="N72" s="39" t="str">
        <x:v>Alta</x:v>
      </x:c>
      <x:c r="O72" s="39" t="str">
        <x:v>Avaliar contexto</x:v>
      </x:c>
      <x:c r="P72" s="39" t="str">
        <x:v>Baixa</x:v>
      </x:c>
      <x:c r="Q72" s="39" t="str">
        <x:v>Declaração conjunta. Não atribuir a Quentin sozinho as palavras conjuntas. Data exata não confirmada. Sugestão de abordagem redigida por nós, não citação. Fonte consultada em 2026-09-09. Lote 2.</x:v>
      </x:c>
    </x:row>
    <x:row r="73" ht="112" customHeight="1">
      <x:c r="A73" s="39" t="str">
        <x:v>HOK0072</x:v>
      </x:c>
      <x:c r="B73" s="39" t="str">
        <x:v>INV028</x:v>
      </x:c>
      <x:c r="C73" s="39" t="str">
        <x:v>PER0220</x:v>
      </x:c>
      <x:c r="D73" s="39" t="str">
        <x:v>Korys</x:v>
      </x:c>
      <x:c r="E73" s="39" t="str">
        <x:v>David Devigne</x:v>
      </x:c>
      <x:c r="F73" s="39" t="str">
        <x:v>Declaração citada pela imprensa</x:v>
      </x:c>
      <x:c r="G73" s="39" t="str">
        <x:v>Familie Colruyt investeert in nieuwe kankerbestrijding</x:v>
      </x:c>
      <x:c r="H73" s="39" t="str"/>
      <x:c r="I73" s="39" t="str">
        <x:v>Oncologia; necessidade não satisfeita</x:v>
      </x:c>
      <x:c r="J73" s="39" t="str">
        <x:v>Atribui à Mablink potencial para doentes sem resposta nas terapias existentes.</x:v>
      </x:c>
      <x:c r="K73" s="39" t="str">
        <x:v>Se o projeto for oncológico, apresentar a população sem opção eficaz e os dados que sustentam a diferenciação terapêutica.</x:v>
      </x:c>
      <x:c r="L73" s="39" t="str">
        <x:v>https://be.linkedin.com/posts/de-tijd_familie-colruyt-investeert-in-nieuwe-kankerbestrijding-activity-6986721035131723778-BJSi</x:v>
      </x:c>
      <x:c r="M73" s="39" t="str">
        <x:v>Verificado</x:v>
      </x:c>
      <x:c r="N73" s="39" t="str">
        <x:v>Média</x:v>
      </x:c>
      <x:c r="O73" s="39" t="str">
        <x:v>Avaliar contexto</x:v>
      </x:c>
      <x:c r="P73" s="39" t="str">
        <x:v>Baixa</x:v>
      </x:c>
      <x:c r="Q73" s="39" t="str">
        <x:v>Declaração pessoal citada. Fonte: publicação de De Tijd no LinkedIn. Opinião sobre investimento; não informação de saúde pessoal. Sugestão de abordagem redigida por nós, não citação. Fonte consultada em 2026-09-09. Lote 2.</x:v>
      </x:c>
    </x:row>
    <x:row r="74" ht="112" customHeight="1">
      <x:c r="A74" s="39" t="str">
        <x:v>HOK0073</x:v>
      </x:c>
      <x:c r="B74" s="39" t="str">
        <x:v>INV029</x:v>
      </x:c>
      <x:c r="C74" s="39" t="str">
        <x:v>PER0222</x:v>
      </x:c>
      <x:c r="D74" s="39" t="str">
        <x:v>H14</x:v>
      </x:c>
      <x:c r="E74" s="39" t="str">
        <x:v>Riccardo Porcelli</x:v>
      </x:c>
      <x:c r="F74" s="39" t="str">
        <x:v>Publicação LinkedIn</x:v>
      </x:c>
      <x:c r="G74" s="39" t="str">
        <x:v>Comentário sobre o investimento em Unobravo</x:v>
      </x:c>
      <x:c r="H74" s="39" t="str"/>
      <x:c r="I74" s="39" t="str">
        <x:v>Mental health; acesso; impacto</x:v>
      </x:c>
      <x:c r="J74" s="39" t="str">
        <x:v>Associa liderança de categoria a acesso a terapia e redução do estigma.</x:v>
      </x:c>
      <x:c r="K74" s="39" t="str">
        <x:v>Ligar o crescimento do negócio a uma métrica verificável de acesso ao serviço, em vez de usar apenas uma narrativa de impacto.</x:v>
      </x:c>
      <x:c r="L74" s="39" t="str">
        <x:v>https://www.linkedin.com/posts/riccardo-porcelli-658b6874_proud-and-happy-to-join-the-unobravo-servizio-activity-7141031623407439876-fnCY</x:v>
      </x:c>
      <x:c r="M74" s="39" t="str">
        <x:v>Verificado</x:v>
      </x:c>
      <x:c r="N74" s="39" t="str">
        <x:v>Alta</x:v>
      </x:c>
      <x:c r="O74" s="39" t="str">
        <x:v>Avaliar contexto</x:v>
      </x:c>
      <x:c r="P74" s="39" t="str">
        <x:v>Baixa</x:v>
      </x:c>
      <x:c r="Q74" s="39" t="str">
        <x:v>Declaração pessoal.  Sugestão de abordagem redigida por nós, não citação. Fonte consultada em 2026-09-09. Lote 2.</x:v>
      </x:c>
    </x:row>
    <x:row r="75" ht="112" customHeight="1">
      <x:c r="A75" s="39" t="str">
        <x:v>HOK0074</x:v>
      </x:c>
      <x:c r="B75" s="39" t="str">
        <x:v>INV029</x:v>
      </x:c>
      <x:c r="C75" s="39" t="str">
        <x:v>PER0222</x:v>
      </x:c>
      <x:c r="D75" s="39" t="str">
        <x:v>H14</x:v>
      </x:c>
      <x:c r="E75" s="39" t="str">
        <x:v>Riccardo Porcelli</x:v>
      </x:c>
      <x:c r="F75" s="39" t="str">
        <x:v>Declaração em notícia de investimento</x:v>
      </x:c>
      <x:c r="G75" s="39" t="str">
        <x:v>WeRoad — racional de investimento da H14</x:v>
      </x:c>
      <x:c r="H75" s="39" t="str">
        <x:v>2023-11</x:v>
      </x:c>
      <x:c r="I75" s="39" t="str">
        <x:v>Travel; comunidade; crescimento</x:v>
      </x:c>
      <x:c r="J75" s="39" t="str">
        <x:v>Salienta resiliência da procura por viagens e força da comunidade criada pela WeRoad.</x:v>
      </x:c>
      <x:c r="K75" s="39" t="str">
        <x:v>Apresentar retenção e aquisição por comunidade; perguntar qual indicador permite distinguir comunidade duradoura de crescimento promocional.</x:v>
      </x:c>
      <x:c r="L75" s="39" t="str">
        <x:v>https://www.newdealadvisors.com/wp-content/uploads/2023/11/dealfloer-h14-weroad-27.11.pdf</x:v>
      </x:c>
      <x:c r="M75" s="39" t="str">
        <x:v>Verificado</x:v>
      </x:c>
      <x:c r="N75" s="39" t="str">
        <x:v>Média</x:v>
      </x:c>
      <x:c r="O75" s="39" t="str">
        <x:v>Avaliar contexto</x:v>
      </x:c>
      <x:c r="P75" s="39" t="str">
        <x:v>Baixa</x:v>
      </x:c>
      <x:c r="Q75" s="39" t="str">
        <x:v>Declaração pessoal citada. Mês confirmado pelo documento; não inventado o dia de publicação. Sugestão de abordagem redigida por nós, não citação. Fonte consultada em 2026-09-09. Lote 2.</x:v>
      </x:c>
    </x:row>
    <x:row r="76" ht="112" customHeight="1">
      <x:c r="A76" s="39" t="str">
        <x:v>HOK0075</x:v>
      </x:c>
      <x:c r="B76" s="39" t="str">
        <x:v>INV029</x:v>
      </x:c>
      <x:c r="C76" s="39" t="str">
        <x:v>PER0222</x:v>
      </x:c>
      <x:c r="D76" s="39" t="str">
        <x:v>H14</x:v>
      </x:c>
      <x:c r="E76" s="39" t="str">
        <x:v>Riccardo Porcelli</x:v>
      </x:c>
      <x:c r="F76" s="39" t="str">
        <x:v>Publicação LinkedIn no perfil</x:v>
      </x:c>
      <x:c r="G76" s="39" t="str">
        <x:v>Comentário sobre Fleek e comércio de segunda mão</x:v>
      </x:c>
      <x:c r="H76" s="39" t="str"/>
      <x:c r="I76" s="39" t="str">
        <x:v>B2B marketplace; velocidade de execução</x:v>
      </x:c>
      <x:c r="J76" s="39" t="str">
        <x:v>Elogia a rapidez de execução e iteração dos founders da Fleek.</x:v>
      </x:c>
      <x:c r="K76" s="39" t="str">
        <x:v>Mostrar o ciclo entre feedback, alteração do produto e resultado comercial, com um exemplo recente e mensurável.</x:v>
      </x:c>
      <x:c r="L76" s="39" t="str">
        <x:v>https://it.linkedin.com/in/riccardo-porcelli-658b6874</x:v>
      </x:c>
      <x:c r="M76" s="39" t="str">
        <x:v>Verificado</x:v>
      </x:c>
      <x:c r="N76" s="39" t="str">
        <x:v>Alta</x:v>
      </x:c>
      <x:c r="O76" s="39" t="str">
        <x:v>Avaliar contexto</x:v>
      </x:c>
      <x:c r="P76" s="39" t="str">
        <x:v>Baixa</x:v>
      </x:c>
      <x:c r="Q76" s="39" t="str">
        <x:v>Declaração pessoal. Post acessível no perfil; URL individual e data exata não expostas. Sugestão de abordagem redigida por nós, não citação. Fonte consultada em 2026-09-09. Lote 2.</x:v>
      </x:c>
    </x:row>
    <x:row r="77" ht="112" customHeight="1">
      <x:c r="A77" s="39" t="str">
        <x:v>HOK0076</x:v>
      </x:c>
      <x:c r="B77" s="39" t="str">
        <x:v>INV030</x:v>
      </x:c>
      <x:c r="C77" s="39" t="str">
        <x:v>PER0224</x:v>
      </x:c>
      <x:c r="D77" s="39" t="str">
        <x:v>Fink Family Office</x:v>
      </x:c>
      <x:c r="E77" s="39" t="str">
        <x:v>Alexander Fink</x:v>
      </x:c>
      <x:c r="F77" s="39" t="str">
        <x:v>Publicação LinkedIn</x:v>
      </x:c>
      <x:c r="G77" s="39" t="str">
        <x:v>How are Family offices leveraging AI for DD and portfolio management</x:v>
      </x:c>
      <x:c r="H77" s="39" t="str"/>
      <x:c r="I77" s="39" t="str">
        <x:v>IA; diligência; private markets</x:v>
      </x:c>
      <x:c r="J77" s="39" t="str">
        <x:v>Diz que a family office usa Allermuir para diligência de empresas privadas.</x:v>
      </x:c>
      <x:c r="K77" s="39" t="str">
        <x:v>No caso SaaS: mostrar como a descoberta de investidores complementa a análise de empresas, e pedir opinião sobre a fronteira entre as duas tarefas.</x:v>
      </x:c>
      <x:c r="L77" s="39" t="str">
        <x:v>https://www.linkedin.com/posts/alexandermfink_how-are-family-offices-leveraging-ai-for-activity-7491175283249721344-B0Py</x:v>
      </x:c>
      <x:c r="M77" s="39" t="str">
        <x:v>Verificado</x:v>
      </x:c>
      <x:c r="N77" s="39" t="str">
        <x:v>Alta</x:v>
      </x:c>
      <x:c r="O77" s="39" t="str">
        <x:v>Avaliar contexto</x:v>
      </x:c>
      <x:c r="P77" s="39" t="str">
        <x:v>Baixa</x:v>
      </x:c>
      <x:c r="Q77" s="39" t="str">
        <x:v>Declaração pessoal. Possível sobreposição comercial. Não apresentar acesso a dados não públicos. Sugestão de abordagem redigida por nós, não citação. Fonte consultada em 2026-09-09. Lote 2.</x:v>
      </x:c>
    </x:row>
    <x:row r="78" ht="112" customHeight="1">
      <x:c r="A78" s="39" t="str">
        <x:v>HOK0077</x:v>
      </x:c>
      <x:c r="B78" s="39" t="str">
        <x:v>INV030</x:v>
      </x:c>
      <x:c r="C78" s="39" t="str">
        <x:v>PER0224</x:v>
      </x:c>
      <x:c r="D78" s="39" t="str">
        <x:v>Fink Family Office</x:v>
      </x:c>
      <x:c r="E78" s="39" t="str">
        <x:v>Alexander Fink</x:v>
      </x:c>
      <x:c r="F78" s="39" t="str">
        <x:v>Publicação LinkedIn</x:v>
      </x:c>
      <x:c r="G78" s="39" t="str">
        <x:v>A week in the life of a FO</x:v>
      </x:c>
      <x:c r="H78" s="39" t="str"/>
      <x:c r="I78" s="39" t="str">
        <x:v>Healthtech; boards; acompanhamento</x:v>
      </x:c>
      <x:c r="J78" s="39" t="str">
        <x:v>Descreve participação numa reunião de conselho da EnsiliTech e contactos com o ecossistema healthtech.</x:v>
      </x:c>
      <x:c r="K78" s="39" t="str">
        <x:v>Perguntar que marco operacional torna uma descoberta científica suficientemente madura para apoio ativo da family office.</x:v>
      </x:c>
      <x:c r="L78" s="39" t="str">
        <x:v>https://www.linkedin.com/posts/alexandermfink_a-week-in-the-life-of-a-fo-fast-paced-high-value-activity-7453820105060356096-FEZe</x:v>
      </x:c>
      <x:c r="M78" s="39" t="str">
        <x:v>Verificado</x:v>
      </x:c>
      <x:c r="N78" s="39" t="str">
        <x:v>Alta</x:v>
      </x:c>
      <x:c r="O78" s="39" t="str">
        <x:v>Avaliar contexto</x:v>
      </x:c>
      <x:c r="P78" s="39" t="str">
        <x:v>Baixa</x:v>
      </x:c>
      <x:c r="Q78" s="39" t="str">
        <x:v>Relato profissional pessoal. Participar numa reunião não confirma, por si só, cargo formal no conselho. Sugestão de abordagem redigida por nós, não citação. Fonte consultada em 2026-09-09. Lote 2.</x:v>
      </x:c>
    </x:row>
    <x:row r="79" ht="112" customHeight="1">
      <x:c r="A79" s="39" t="str">
        <x:v>HOK0078</x:v>
      </x:c>
      <x:c r="B79" s="39" t="str">
        <x:v>INV030</x:v>
      </x:c>
      <x:c r="C79" s="39" t="str">
        <x:v>PER0224</x:v>
      </x:c>
      <x:c r="D79" s="39" t="str">
        <x:v>Fink Family Office</x:v>
      </x:c>
      <x:c r="E79" s="39" t="str">
        <x:v>Alexander Fink</x:v>
      </x:c>
      <x:c r="F79" s="39" t="str">
        <x:v>Publicação institucional com repost</x:v>
      </x:c>
      <x:c r="G79" s="39" t="str">
        <x:v>Comentário sobre Proxima Fusion</x:v>
      </x:c>
      <x:c r="H79" s="39" t="str"/>
      <x:c r="I79" s="39" t="str">
        <x:v>Energia; ciência; divulgação</x:v>
      </x:c>
      <x:c r="J79" s="39" t="str">
        <x:v>Explica publicamente que a Fink Family Office e a Empirical investiram em Proxima Fusion, remetendo para divulgação de Ben Miles.</x:v>
      </x:c>
      <x:c r="K79" s="39" t="str">
        <x:v>Se houver ciência industrial, apresentar uma explicação técnica curta e um caso económico que possa ser compreendido por especialistas e investidores.</x:v>
      </x:c>
      <x:c r="L79" s="39" t="str">
        <x:v>https://uk.linkedin.com/company/fink-family-office</x:v>
      </x:c>
      <x:c r="M79" s="39" t="str">
        <x:v>Verificado</x:v>
      </x:c>
      <x:c r="N79" s="39" t="str">
        <x:v>Alta</x:v>
      </x:c>
      <x:c r="O79" s="39" t="str">
        <x:v>Avaliar contexto</x:v>
      </x:c>
      <x:c r="P79" s="39" t="str">
        <x:v>Baixa</x:v>
      </x:c>
      <x:c r="Q79" s="39" t="str">
        <x:v>Publicação pessoal reproduzida pela entidade. Opinião identificada como post de Alexander na página institucional. Data exata indisponível. Sugestão de abordagem redigida por nós, não citação. Fonte consultada em 2026-09-09. Lote 2.</x:v>
      </x:c>
    </x:row>
    <x:row r="80" ht="112" customHeight="1">
      <x:c r="A80" s="39" t="str">
        <x:v>HOK0079</x:v>
      </x:c>
      <x:c r="B80" s="39" t="str">
        <x:v>INV030</x:v>
      </x:c>
      <x:c r="C80" s="39" t="str">
        <x:v>PER0225</x:v>
      </x:c>
      <x:c r="D80" s="39" t="str">
        <x:v>Fink Family Office</x:v>
      </x:c>
      <x:c r="E80" s="39" t="str">
        <x:v>Jordan Fink</x:v>
      </x:c>
      <x:c r="F80" s="39" t="str">
        <x:v>Publicação LinkedIn reproduzida</x:v>
      </x:c>
      <x:c r="G80" s="39" t="str">
        <x:v>Entrada em Allermuir Capital e descrição da plataforma</x:v>
      </x:c>
      <x:c r="H80" s="39" t="str"/>
      <x:c r="I80" s="39" t="str">
        <x:v>IA para investimento; dados não estruturados</x:v>
      </x:c>
      <x:c r="J80" s="39" t="str">
        <x:v>Explica o uso de data rooms e memorandos na análise automatizada de investimentos.</x:v>
      </x:c>
      <x:c r="K80" s="39" t="str">
        <x:v>Perguntar onde a pesquisa externa de investidores pode complementar o trabalho com documentos internos e demonstrar a proveniência de cada dado.</x:v>
      </x:c>
      <x:c r="L80" s="39" t="str">
        <x:v>https://www.linkedin.com/posts/alexandermfink_congrats-to-my-brother-jordan-fink-on-his-activity-7341049198877765632-uIlH</x:v>
      </x:c>
      <x:c r="M80" s="39" t="str">
        <x:v>Verificado</x:v>
      </x:c>
      <x:c r="N80" s="39" t="str">
        <x:v>Alta</x:v>
      </x:c>
      <x:c r="O80" s="39" t="str">
        <x:v>Avaliar contexto</x:v>
      </x:c>
      <x:c r="P80" s="39" t="str">
        <x:v>Baixa</x:v>
      </x:c>
      <x:c r="Q80" s="39" t="str">
        <x:v>Declaração pessoal. O texto de Jordan está reproduzido no post de Alexander; não confundir os autores. Sugestão de abordagem redigida por nós, não citação. Fonte consultada em 2026-09-09. Lote 2.</x:v>
      </x:c>
    </x:row>
    <x:row r="81" ht="112" customHeight="1">
      <x:c r="A81" s="39" t="str">
        <x:v>HOK0080</x:v>
      </x:c>
      <x:c r="B81" s="39" t="str">
        <x:v>INV030</x:v>
      </x:c>
      <x:c r="C81" s="39" t="str">
        <x:v>PER0225</x:v>
      </x:c>
      <x:c r="D81" s="39" t="str">
        <x:v>Fink Family Office</x:v>
      </x:c>
      <x:c r="E81" s="39" t="str">
        <x:v>Jordan Fink</x:v>
      </x:c>
      <x:c r="F81" s="39" t="str">
        <x:v>Participação anunciada em conferência</x:v>
      </x:c>
      <x:c r="G81" s="39" t="str">
        <x:v>PE Conf — How AI is changing deal sourcing, due diligence &amp; portfolio operations</x:v>
      </x:c>
      <x:c r="H81" s="39" t="str">
        <x:v>2026-05-29</x:v>
      </x:c>
      <x:c r="I81" s="39" t="str">
        <x:v>IA; sourcing; diligência</x:v>
      </x:c>
      <x:c r="J81" s="39" t="str">
        <x:v>Anunciado como interveniente num painel sobre IA nas operações de private equity.</x:v>
      </x:c>
      <x:c r="K81" s="39" t="str">
        <x:v>Referir o tema do painel e perguntar qual tarefa de sourcing considera ainda mal resolvida; não alegar ter assistido.</x:v>
      </x:c>
      <x:c r="L81" s="39" t="str">
        <x:v>https://pe2026.com/</x:v>
      </x:c>
      <x:c r="M81" s="39" t="str">
        <x:v>Verificado</x:v>
      </x:c>
      <x:c r="N81" s="39" t="str">
        <x:v>Média</x:v>
      </x:c>
      <x:c r="O81" s="39" t="str">
        <x:v>Avaliar contexto</x:v>
      </x:c>
      <x:c r="P81" s="39" t="str">
        <x:v>Baixa</x:v>
      </x:c>
      <x:c r="Q81" s="39" t="str">
        <x:v>Participação pública. Agenda não equivale a transcrição nem comprova uma opinião sobre cada tema. Sugestão de abordagem redigida por nós, não citação. Fonte consultada em 2026-09-09. Lote 2.</x:v>
      </x:c>
    </x:row>
    <x:row r="82" ht="112" customHeight="1">
      <x:c r="A82" s="39" t="str">
        <x:v>HOK0081</x:v>
      </x:c>
      <x:c r="B82" s="39" t="str">
        <x:v>INV031</x:v>
      </x:c>
      <x:c r="C82" s="39" t="str">
        <x:v>PER0226</x:v>
      </x:c>
      <x:c r="D82" s="39" t="str">
        <x:v>DIG Ventures</x:v>
      </x:c>
      <x:c r="E82" s="39" t="str">
        <x:v>Ross Mason</x:v>
      </x:c>
      <x:c r="F82" s="39" t="str">
        <x:v>Publicação LinkedIn</x:v>
      </x:c>
      <x:c r="G82" s="39" t="str">
        <x:v>DIG Ventures — primeiro fundo institucional</x:v>
      </x:c>
      <x:c r="H82" s="39" t="str"/>
      <x:c r="I82" s="39" t="str">
        <x:v>VC de origem familiar; apoio operacional</x:v>
      </x:c>
      <x:c r="J82" s="39" t="str">
        <x:v>Explica a evolução de family office para fundo institucional e o apoio operacional a founders europeus.</x:v>
      </x:c>
      <x:c r="K82" s="39" t="str">
        <x:v>Perguntar que erro de produto ou vendas um fundador técnico deve resolver antes de captar, ligando a pergunta à experiência MuleSoft.</x:v>
      </x:c>
      <x:c r="L82" s="39" t="str">
        <x:v>https://www.linkedin.com/posts/ross-mason_a-proud-moment-for-the-dig-ventures-team-activity-7316021223954501634-0mPN</x:v>
      </x:c>
      <x:c r="M82" s="39" t="str">
        <x:v>Verificado</x:v>
      </x:c>
      <x:c r="N82" s="39" t="str">
        <x:v>Alta</x:v>
      </x:c>
      <x:c r="O82" s="39" t="str">
        <x:v>Avaliar contexto</x:v>
      </x:c>
      <x:c r="P82" s="39" t="str">
        <x:v>Baixa</x:v>
      </x:c>
      <x:c r="Q82" s="39" t="str">
        <x:v>Declaração pessoal.  Sugestão de abordagem redigida por nós, não citação. Fonte consultada em 2026-09-09. Lote 2.</x:v>
      </x:c>
    </x:row>
    <x:row r="83" ht="112" customHeight="1">
      <x:c r="A83" s="39" t="str">
        <x:v>HOK0082</x:v>
      </x:c>
      <x:c r="B83" s="39" t="str">
        <x:v>INV031</x:v>
      </x:c>
      <x:c r="C83" s="39" t="str">
        <x:v>PER0226</x:v>
      </x:c>
      <x:c r="D83" s="39" t="str">
        <x:v>DIG Ventures</x:v>
      </x:c>
      <x:c r="E83" s="39" t="str">
        <x:v>Ross Mason</x:v>
      </x:c>
      <x:c r="F83" s="39" t="str">
        <x:v>Publicação LinkedIn</x:v>
      </x:c>
      <x:c r="G83" s="39" t="str">
        <x:v>Desia — investimento pre-seed liderado pela DIG</x:v>
      </x:c>
      <x:c r="H83" s="39" t="str"/>
      <x:c r="I83" s="39" t="str">
        <x:v>IA; análise de investimentos; dados</x:v>
      </x:c>
      <x:c r="J83" s="39" t="str">
        <x:v>Defende automatizar a descoberta, organização e análise de dados usados por profissionais de investimento.</x:v>
      </x:c>
      <x:c r="K83" s="39" t="str">
        <x:v>No caso SaaS: mostrar a diferença entre encontrar investidores adequados e analisar investimentos; demonstrar a qualidade dos dados com um caso auditável.</x:v>
      </x:c>
      <x:c r="L83" s="39" t="str">
        <x:v>https://www.linkedin.com/posts/ross-mason_cofounder-of-italys-first-unicorn-raises-activity-7244437286103257089-Lnpb</x:v>
      </x:c>
      <x:c r="M83" s="39" t="str">
        <x:v>Verificado</x:v>
      </x:c>
      <x:c r="N83" s="39" t="str">
        <x:v>Alta</x:v>
      </x:c>
      <x:c r="O83" s="39" t="str">
        <x:v>Avaliar contexto</x:v>
      </x:c>
      <x:c r="P83" s="39" t="str">
        <x:v>Baixa</x:v>
      </x:c>
      <x:c r="Q83" s="39" t="str">
        <x:v>Declaração pessoal. Desia pode ser concorrente ou solução adjacente; avaliar antes de partilhar detalhe comercial. Sugestão de abordagem redigida por nós, não citação. Fonte consultada em 2026-09-09. Lote 2.</x:v>
      </x:c>
    </x:row>
    <x:row r="84" ht="112" customHeight="1">
      <x:c r="A84" s="39" t="str">
        <x:v>HOK0083</x:v>
      </x:c>
      <x:c r="B84" s="39" t="str">
        <x:v>INV031</x:v>
      </x:c>
      <x:c r="C84" s="39" t="str">
        <x:v>PER0227</x:v>
      </x:c>
      <x:c r="D84" s="39" t="str">
        <x:v>DIG Ventures</x:v>
      </x:c>
      <x:c r="E84" s="39" t="str">
        <x:v>Melissa Klinger</x:v>
      </x:c>
      <x:c r="F84" s="39" t="str">
        <x:v>Perfil oficial</x:v>
      </x:c>
      <x:c r="G84" s="39" t="str">
        <x:v>Melissa Klinger — experiência comercial na MuleSoft</x:v>
      </x:c>
      <x:c r="H84" s="39" t="str"/>
      <x:c r="I84" s="39" t="str">
        <x:v>GTM; founder técnico</x:v>
      </x:c>
      <x:c r="J84" s="39" t="str">
        <x:v>A biografia destaca trabalho com founders técnicos na construção da função comercial.</x:v>
      </x:c>
      <x:c r="K84" s="39" t="str">
        <x:v>Levar um exemplo de conversa comercial difícil e perguntar o que mudaria na primeira venda de um produto técnico.</x:v>
      </x:c>
      <x:c r="L84" s="39" t="str">
        <x:v>https://www.dig.ventures/team</x:v>
      </x:c>
      <x:c r="M84" s="39" t="str">
        <x:v>Verificado</x:v>
      </x:c>
      <x:c r="N84" s="39" t="str">
        <x:v>Alta</x:v>
      </x:c>
      <x:c r="O84" s="39" t="str">
        <x:v>Avaliar contexto</x:v>
      </x:c>
      <x:c r="P84" s="39" t="str">
        <x:v>Baixa</x:v>
      </x:c>
      <x:c r="Q84" s="39" t="str">
        <x:v>Perfil institucional.  Sugestão de abordagem redigida por nós, não citação. Fonte consultada em 2026-09-09. Lote 2.</x:v>
      </x:c>
    </x:row>
    <x:row r="85" ht="112" customHeight="1">
      <x:c r="A85" s="39" t="str">
        <x:v>HOK0084</x:v>
      </x:c>
      <x:c r="B85" s="39" t="str">
        <x:v>INV031</x:v>
      </x:c>
      <x:c r="C85" s="39" t="str">
        <x:v>PER0227</x:v>
      </x:c>
      <x:c r="D85" s="39" t="str">
        <x:v>DIG Ventures</x:v>
      </x:c>
      <x:c r="E85" s="39" t="str">
        <x:v>Melissa Klinger</x:v>
      </x:c>
      <x:c r="F85" s="39" t="str">
        <x:v>Declaração citada pela imprensa</x:v>
      </x:c>
      <x:c r="G85" s="39" t="str">
        <x:v>Tower raises USD $6.4m to bring AI data code to prod</x:v>
      </x:c>
      <x:c r="H85" s="39" t="str"/>
      <x:c r="I85" s="39" t="str">
        <x:v>IA; produção; infraestrutura de dados</x:v>
      </x:c>
      <x:c r="J85" s="39" t="str">
        <x:v>Distingue facilidade de gerar pipelines com IA da dificuldade de os operar com fiabilidade.</x:v>
      </x:c>
      <x:c r="K85" s="39" t="str">
        <x:v>Mostrar como o produto reduz falhas em produção e quantificar o trabalho operacional evitado.</x:v>
      </x:c>
      <x:c r="L85" s="39" t="str">
        <x:v>https://cfotech.co.uk/story/tower-raises-usd-6-4m-to-bring-ai-data-code-to-prod</x:v>
      </x:c>
      <x:c r="M85" s="39" t="str">
        <x:v>Verificado</x:v>
      </x:c>
      <x:c r="N85" s="39" t="str">
        <x:v>Média</x:v>
      </x:c>
      <x:c r="O85" s="39" t="str">
        <x:v>Avaliar contexto</x:v>
      </x:c>
      <x:c r="P85" s="39" t="str">
        <x:v>Baixa</x:v>
      </x:c>
      <x:c r="Q85" s="39" t="str">
        <x:v>Declaração pessoal citada. A cifra é da ronda total da Tower; não é o cheque de Melissa ou da DIG. Sugestão de abordagem redigida por nós, não citação. Fonte consultada em 2026-09-09. Lote 2.</x:v>
      </x:c>
    </x:row>
    <x:row r="86" ht="112" customHeight="1">
      <x:c r="A86" s="39" t="str">
        <x:v>HOK0085</x:v>
      </x:c>
      <x:c r="B86" s="39" t="str">
        <x:v>INV031</x:v>
      </x:c>
      <x:c r="C86" s="39" t="str">
        <x:v>PER0228</x:v>
      </x:c>
      <x:c r="D86" s="39" t="str">
        <x:v>DIG Ventures</x:v>
      </x:c>
      <x:c r="E86" s="39" t="str">
        <x:v>Rytis Vitkauskas</x:v>
      </x:c>
      <x:c r="F86" s="39" t="str">
        <x:v>Publicação LinkedIn</x:v>
      </x:c>
      <x:c r="G86" s="39" t="str">
        <x:v>All-in-one AI platform — nexos.ai</x:v>
      </x:c>
      <x:c r="H86" s="39" t="str"/>
      <x:c r="I86" s="39" t="str">
        <x:v>IA enterprise; equipa; continuidade</x:v>
      </x:c>
      <x:c r="J86" s="39" t="str">
        <x:v>Salienta continuidade da parceria com a equipa nexos.ai e execução ao longo dos anos.</x:v>
      </x:c>
      <x:c r="K86" s="39" t="str">
        <x:v>Relacionar a execução do teu projeto com uma aprendizagem acumulada da equipa e perguntar que marco valida uma plataforma de IA empresarial.</x:v>
      </x:c>
      <x:c r="L86" s="39" t="str">
        <x:v>https://www.linkedin.com/posts/rvitkauskas_all-in-one-ai-platform-activity-7386353860748931072-MolE</x:v>
      </x:c>
      <x:c r="M86" s="39" t="str">
        <x:v>Verificado</x:v>
      </x:c>
      <x:c r="N86" s="39" t="str">
        <x:v>Alta</x:v>
      </x:c>
      <x:c r="O86" s="39" t="str">
        <x:v>Avaliar contexto</x:v>
      </x:c>
      <x:c r="P86" s="39" t="str">
        <x:v>Baixa</x:v>
      </x:c>
      <x:c r="Q86" s="39" t="str">
        <x:v>Declaração pessoal.  Sugestão de abordagem redigida por nós, não citação. Fonte consultada em 2026-09-09. Lote 2.</x:v>
      </x:c>
    </x:row>
    <x:row r="87" ht="112" customHeight="1">
      <x:c r="A87" s="39" t="str">
        <x:v>HOK0086</x:v>
      </x:c>
      <x:c r="B87" s="39" t="str">
        <x:v>INV032</x:v>
      </x:c>
      <x:c r="C87" s="39" t="str">
        <x:v>PER0229</x:v>
      </x:c>
      <x:c r="D87" s="39" t="str">
        <x:v>Smedvig Ventures</x:v>
      </x:c>
      <x:c r="E87" s="39" t="str">
        <x:v>Jon Lerner</x:v>
      </x:c>
      <x:c r="F87" s="39" t="str">
        <x:v>Entrevista no perfil oficial</x:v>
      </x:c>
      <x:c r="G87" s="39" t="str">
        <x:v>A conversation with Jon — PMF or GTM?</x:v>
      </x:c>
      <x:c r="H87" s="39" t="str"/>
      <x:c r="I87" s="39" t="str">
        <x:v>SaaS; diagnóstico de crescimento</x:v>
      </x:c>
      <x:c r="J87" s="39" t="str">
        <x:v>Defende diagnosticar se um problema de vendas resulta de produto, GTM ou ambos.</x:v>
      </x:c>
      <x:c r="K87" s="39" t="str">
        <x:v>Apresentar um funil e uma cohort de retenção; perguntar qual teste faria primeiro para distinguir PMF de distribuição.</x:v>
      </x:c>
      <x:c r="L87" s="39" t="str">
        <x:v>https://smedvig.vc/people/jon-lerner/</x:v>
      </x:c>
      <x:c r="M87" s="39" t="str">
        <x:v>Verificado</x:v>
      </x:c>
      <x:c r="N87" s="39" t="str">
        <x:v>Alta</x:v>
      </x:c>
      <x:c r="O87" s="39" t="str">
        <x:v>Avaliar contexto</x:v>
      </x:c>
      <x:c r="P87" s="39" t="str">
        <x:v>Baixa</x:v>
      </x:c>
      <x:c r="Q87" s="39" t="str">
        <x:v>Declaração pessoal.  Sugestão de abordagem redigida por nós, não citação. Fonte consultada em 2026-09-09. Lote 2.</x:v>
      </x:c>
    </x:row>
    <x:row r="88" ht="112" customHeight="1">
      <x:c r="A88" s="39" t="str">
        <x:v>HOK0087</x:v>
      </x:c>
      <x:c r="B88" s="39" t="str">
        <x:v>INV032</x:v>
      </x:c>
      <x:c r="C88" s="39" t="str">
        <x:v>PER0229</x:v>
      </x:c>
      <x:c r="D88" s="39" t="str">
        <x:v>Smedvig Ventures</x:v>
      </x:c>
      <x:c r="E88" s="39" t="str">
        <x:v>Jon Lerner</x:v>
      </x:c>
      <x:c r="F88" s="39" t="str">
        <x:v>Entrevista no perfil oficial</x:v>
      </x:c>
      <x:c r="G88" s="39" t="str">
        <x:v>A conversation with Jon — what gets you excited about a business?</x:v>
      </x:c>
      <x:c r="H88" s="39" t="str"/>
      <x:c r="I88" s="39" t="str">
        <x:v>Métricas; software crítico</x:v>
      </x:c>
      <x:c r="J88" s="39" t="str">
        <x:v>Valoriza detalhe, métricas e plataformas que se tornam essenciais à organização.</x:v>
      </x:c>
      <x:c r="K88" s="39" t="str">
        <x:v>Mostrar qual processo deixa de funcionar sem o produto e qual métrica demonstra aumento de dependência ao longo do tempo.</x:v>
      </x:c>
      <x:c r="L88" s="39" t="str">
        <x:v>https://smedvig.vc/people/jon-lerner/</x:v>
      </x:c>
      <x:c r="M88" s="39" t="str">
        <x:v>Verificado</x:v>
      </x:c>
      <x:c r="N88" s="39" t="str">
        <x:v>Alta</x:v>
      </x:c>
      <x:c r="O88" s="39" t="str">
        <x:v>Avaliar contexto</x:v>
      </x:c>
      <x:c r="P88" s="39" t="str">
        <x:v>Baixa</x:v>
      </x:c>
      <x:c r="Q88" s="39" t="str">
        <x:v>Declaração pessoal.  Sugestão de abordagem redigida por nós, não citação. Fonte consultada em 2026-09-09. Lote 2.</x:v>
      </x:c>
    </x:row>
    <x:row r="89" ht="112" customHeight="1">
      <x:c r="A89" s="39" t="str">
        <x:v>HOK0088</x:v>
      </x:c>
      <x:c r="B89" s="39" t="str">
        <x:v>INV032</x:v>
      </x:c>
      <x:c r="C89" s="39" t="str">
        <x:v>PER0230</x:v>
      </x:c>
      <x:c r="D89" s="39" t="str">
        <x:v>Smedvig Ventures</x:v>
      </x:c>
      <x:c r="E89" s="39" t="str">
        <x:v>Joe Knowles</x:v>
      </x:c>
      <x:c r="F89" s="39" t="str">
        <x:v>Entrevista no perfil oficial</x:v>
      </x:c>
      <x:c r="G89" s="39" t="str">
        <x:v>A conversation with Joe — essentialism</x:v>
      </x:c>
      <x:c r="H89" s="39" t="str"/>
      <x:c r="I89" s="39" t="str">
        <x:v>Prioridades; execução</x:v>
      </x:c>
      <x:c r="J89" s="39" t="str">
        <x:v>Define apoio a founders como identificar o problema principal e priorizar com rigor.</x:v>
      </x:c>
      <x:c r="K89" s="39" t="str">
        <x:v>Enviar três possíveis prioridades e os dados de cada uma; pedir opinião sobre a que removeria primeiro.</x:v>
      </x:c>
      <x:c r="L89" s="39" t="str">
        <x:v>https://smedvig.vc/people/joe-knowles/</x:v>
      </x:c>
      <x:c r="M89" s="39" t="str">
        <x:v>Verificado</x:v>
      </x:c>
      <x:c r="N89" s="39" t="str">
        <x:v>Alta</x:v>
      </x:c>
      <x:c r="O89" s="39" t="str">
        <x:v>Avaliar contexto</x:v>
      </x:c>
      <x:c r="P89" s="39" t="str">
        <x:v>Baixa</x:v>
      </x:c>
      <x:c r="Q89" s="39" t="str">
        <x:v>Declaração pessoal.  Sugestão de abordagem redigida por nós, não citação. Fonte consultada em 2026-09-09. Lote 2.</x:v>
      </x:c>
    </x:row>
    <x:row r="90" ht="112" customHeight="1">
      <x:c r="A90" s="39" t="str">
        <x:v>HOK0089</x:v>
      </x:c>
      <x:c r="B90" s="39" t="str">
        <x:v>INV032</x:v>
      </x:c>
      <x:c r="C90" s="39" t="str">
        <x:v>PER0230</x:v>
      </x:c>
      <x:c r="D90" s="39" t="str">
        <x:v>Smedvig Ventures</x:v>
      </x:c>
      <x:c r="E90" s="39" t="str">
        <x:v>Joe Knowles</x:v>
      </x:c>
      <x:c r="F90" s="39" t="str">
        <x:v>Recomendação pública de livro</x:v>
      </x:c>
      <x:c r="G90" s="39" t="str">
        <x:v>Never Split the Difference — recomendação de Joe Knowles</x:v>
      </x:c>
      <x:c r="H90" s="39" t="str"/>
      <x:c r="I90" s="39" t="str">
        <x:v>Escuta ativa; negociação</x:v>
      </x:c>
      <x:c r="J90" s="39" t="str">
        <x:v>Recomenda o livro pelo que ensina sobre escuta ativa.</x:v>
      </x:c>
      <x:c r="K90" s="39" t="str">
        <x:v>Se já leste o livro, ligar uma prática de escuta a uma descoberta real de cliente; caso contrário, perguntar que aplicação considera mais útil.</x:v>
      </x:c>
      <x:c r="L90" s="39" t="str">
        <x:v>https://smedvig.vc/people/joe-knowles/</x:v>
      </x:c>
      <x:c r="M90" s="39" t="str">
        <x:v>Verificado</x:v>
      </x:c>
      <x:c r="N90" s="39" t="str">
        <x:v>Alta</x:v>
      </x:c>
      <x:c r="O90" s="39" t="str">
        <x:v>Avaliar contexto</x:v>
      </x:c>
      <x:c r="P90" s="39" t="str">
        <x:v>Baixa</x:v>
      </x:c>
      <x:c r="Q90" s="39" t="str">
        <x:v>Declaração pessoal.  Sugestão de abordagem redigida por nós, não citação. Fonte consultada em 2026-09-09. Lote 2.</x:v>
      </x:c>
    </x:row>
    <x:row r="91" ht="112" customHeight="1">
      <x:c r="A91" s="39" t="str">
        <x:v>HOK0090</x:v>
      </x:c>
      <x:c r="B91" s="39" t="str">
        <x:v>INV032</x:v>
      </x:c>
      <x:c r="C91" s="39" t="str">
        <x:v>PER0231</x:v>
      </x:c>
      <x:c r="D91" s="39" t="str">
        <x:v>Smedvig Ventures</x:v>
      </x:c>
      <x:c r="E91" s="39" t="str">
        <x:v>Rob Toms</x:v>
      </x:c>
      <x:c r="F91" s="39" t="str">
        <x:v>Entrevista no perfil oficial</x:v>
      </x:c>
      <x:c r="G91" s="39" t="str">
        <x:v>A conversation with Rob — scaling sales and marketing</x:v>
      </x:c>
      <x:c r="H91" s="39" t="str"/>
      <x:c r="I91" s="39" t="str">
        <x:v>GTM; crescimento eficiente</x:v>
      </x:c>
      <x:c r="J91" s="39" t="str">
        <x:v>Descreve a dificuldade de escalar vendas mantendo crescimento e eficiência.</x:v>
      </x:c>
      <x:c r="K91" s="39" t="str">
        <x:v>Apresentar CAC, período de recuperação e crescimento por cohort; perguntar onde costuma surgir primeiro a perda de eficiência.</x:v>
      </x:c>
      <x:c r="L91" s="39" t="str">
        <x:v>https://smedvig.vc/people/rob-toms/</x:v>
      </x:c>
      <x:c r="M91" s="39" t="str">
        <x:v>Verificado</x:v>
      </x:c>
      <x:c r="N91" s="39" t="str">
        <x:v>Alta</x:v>
      </x:c>
      <x:c r="O91" s="39" t="str">
        <x:v>Avaliar contexto</x:v>
      </x:c>
      <x:c r="P91" s="39" t="str">
        <x:v>Baixa</x:v>
      </x:c>
      <x:c r="Q91" s="39" t="str">
        <x:v>Declaração pessoal.  Sugestão de abordagem redigida por nós, não citação. Fonte consultada em 2026-09-09. Lote 2.</x:v>
      </x:c>
    </x:row>
    <x:row r="92" ht="112" customHeight="1">
      <x:c r="A92" s="39" t="str">
        <x:v>HOK0091</x:v>
      </x:c>
      <x:c r="B92" s="39" t="str">
        <x:v>INV032</x:v>
      </x:c>
      <x:c r="C92" s="39" t="str">
        <x:v>PER0232</x:v>
      </x:c>
      <x:c r="D92" s="39" t="str">
        <x:v>Smedvig Ventures</x:v>
      </x:c>
      <x:c r="E92" s="39" t="str">
        <x:v>Peter Duffy</x:v>
      </x:c>
      <x:c r="F92" s="39" t="str">
        <x:v>Entrevista no perfil oficial</x:v>
      </x:c>
      <x:c r="G92" s="39" t="str">
        <x:v>A conversation with Peter — explicar o negócio</x:v>
      </x:c>
      <x:c r="H92" s="39" t="str"/>
      <x:c r="I92" s="39" t="str">
        <x:v>Clareza; narrativa</x:v>
      </x:c>
      <x:c r="J92" s="39" t="str">
        <x:v>Usa a reação de alguém exterior ao negócio como sinal de clareza da oportunidade.</x:v>
      </x:c>
      <x:c r="K92" s="39" t="str">
        <x:v>Abrir com uma explicação em duas frases e um problema reconhecível; perguntar onde a narrativa perde clareza.</x:v>
      </x:c>
      <x:c r="L92" s="39" t="str">
        <x:v>https://smedvig.vc/people/peter-duffy/</x:v>
      </x:c>
      <x:c r="M92" s="39" t="str">
        <x:v>Verificado</x:v>
      </x:c>
      <x:c r="N92" s="39" t="str">
        <x:v>Alta</x:v>
      </x:c>
      <x:c r="O92" s="39" t="str">
        <x:v>Avaliar contexto</x:v>
      </x:c>
      <x:c r="P92" s="39" t="str">
        <x:v>Baixa</x:v>
      </x:c>
      <x:c r="Q92" s="39" t="str">
        <x:v>Declaração pessoal.  Sugestão de abordagem redigida por nós, não citação. Fonte consultada em 2026-09-09. Lote 2.</x:v>
      </x:c>
    </x:row>
    <x:row r="93" ht="112" customHeight="1">
      <x:c r="A93" s="39" t="str">
        <x:v>HOK0092</x:v>
      </x:c>
      <x:c r="B93" s="39" t="str">
        <x:v>INV032</x:v>
      </x:c>
      <x:c r="C93" s="39" t="str">
        <x:v>PER0233</x:v>
      </x:c>
      <x:c r="D93" s="39" t="str">
        <x:v>Smedvig Ventures</x:v>
      </x:c>
      <x:c r="E93" s="39" t="str">
        <x:v>Freddie Kalfayan</x:v>
      </x:c>
      <x:c r="F93" s="39" t="str">
        <x:v>Entrevista no perfil oficial</x:v>
      </x:c>
      <x:c r="G93" s="39" t="str">
        <x:v>A conversation with Freddie — contrarian founders</x:v>
      </x:c>
      <x:c r="H93" s="39" t="str"/>
      <x:c r="I93" s="39" t="str">
        <x:v>Convicção; oportunidade pouco consensual</x:v>
      </x:c>
      <x:c r="J93" s="39" t="str">
        <x:v>Interessa-se por empresas e founders fortes com uma tese pouco consensual.</x:v>
      </x:c>
      <x:c r="K93" s="39" t="str">
        <x:v>Mostrar uma hipótese que contraria o mercado, a evidência disponível e o resultado que te faria abandoná-la.</x:v>
      </x:c>
      <x:c r="L93" s="39" t="str">
        <x:v>https://smedvig.vc/people/freddie-kalfayan/</x:v>
      </x:c>
      <x:c r="M93" s="39" t="str">
        <x:v>Verificado</x:v>
      </x:c>
      <x:c r="N93" s="39" t="str">
        <x:v>Alta</x:v>
      </x:c>
      <x:c r="O93" s="39" t="str">
        <x:v>Avaliar contexto</x:v>
      </x:c>
      <x:c r="P93" s="39" t="str">
        <x:v>Baixa</x:v>
      </x:c>
      <x:c r="Q93" s="39" t="str">
        <x:v>Declaração pessoal.  Sugestão de abordagem redigida por nós, não citação. Fonte consultada em 2026-09-09. Lote 2.</x:v>
      </x:c>
    </x:row>
    <x:row r="94" ht="112" customHeight="1">
      <x:c r="A94" s="39" t="str">
        <x:v>HOK0093</x:v>
      </x:c>
      <x:c r="B94" s="39" t="str">
        <x:v>INV033</x:v>
      </x:c>
      <x:c r="C94" s="39" t="str">
        <x:v>PER0234</x:v>
      </x:c>
      <x:c r="D94" s="39" t="str">
        <x:v>Episode 1</x:v>
      </x:c>
      <x:c r="E94" s="39" t="str">
        <x:v>Hector Mason</x:v>
      </x:c>
      <x:c r="F94" s="39" t="str">
        <x:v>Entrevista</x:v>
      </x:c>
      <x:c r="G94" s="39" t="str">
        <x:v>Episode 1 Ventures, Interview With General Partner Hector Mason</x:v>
      </x:c>
      <x:c r="H94" s="39" t="str">
        <x:v>2024-02-08</x:v>
      </x:c>
      <x:c r="I94" s="39" t="str">
        <x:v>IA; infraestrutura; defensibilidade</x:v>
      </x:c>
      <x:c r="J94" s="39" t="str">
        <x:v>Em 2024, preferia infraestrutura e adoção empresarial de IA a aplicações com casos de uso superficiais.</x:v>
      </x:c>
      <x:c r="K94" s="39" t="str">
        <x:v>Perguntar se continua a ver essa assimetria; mostrar a defensibilidade que vai além de uma interface para modelos.</x:v>
      </x:c>
      <x:c r="L94" s="39" t="str">
        <x:v>https://vcwire.tech/2024/02/08/episode-1-ventures-interview-with-general-partner-hector-mason/</x:v>
      </x:c>
      <x:c r="M94" s="39" t="str">
        <x:v>Verificado</x:v>
      </x:c>
      <x:c r="N94" s="39" t="str">
        <x:v>Alta</x:v>
      </x:c>
      <x:c r="O94" s="39" t="str">
        <x:v>Avaliar contexto</x:v>
      </x:c>
      <x:c r="P94" s="39" t="str">
        <x:v>Baixa</x:v>
      </x:c>
      <x:c r="Q94" s="39" t="str">
        <x:v>Declaração pessoal. Opinião histórica; não presumir que se mantém sem confirmar. Sugestão de abordagem redigida por nós, não citação. Fonte consultada em 2026-09-09. Lote 2.</x:v>
      </x:c>
    </x:row>
    <x:row r="95" ht="112" customHeight="1">
      <x:c r="A95" s="39" t="str">
        <x:v>HOK0094</x:v>
      </x:c>
      <x:c r="B95" s="39" t="str">
        <x:v>INV033</x:v>
      </x:c>
      <x:c r="C95" s="39" t="str">
        <x:v>PER0234</x:v>
      </x:c>
      <x:c r="D95" s="39" t="str">
        <x:v>Episode 1</x:v>
      </x:c>
      <x:c r="E95" s="39" t="str">
        <x:v>Hector Mason</x:v>
      </x:c>
      <x:c r="F95" s="39" t="str">
        <x:v>Entrevista institucional</x:v>
      </x:c>
      <x:c r="G95" s="39" t="str">
        <x:v>In the ‘Hot Seat’ with Hector Mason</x:v>
      </x:c>
      <x:c r="H95" s="39" t="str">
        <x:v>2019-08-22</x:v>
      </x:c>
      <x:c r="I95" s="39" t="str">
        <x:v>Founder; equipa técnica</x:v>
      </x:c>
      <x:c r="J95" s="39" t="str">
        <x:v>Atribui parte do insucesso da Taskee a não ter encontrado cofundador técnico.</x:v>
      </x:c>
      <x:c r="K95" s="39" t="str">
        <x:v>Explicar a divisão real de competências entre founders e como a equipa resolve o risco técnico central.</x:v>
      </x:c>
      <x:c r="L95" s="39" t="str">
        <x:v>https://medium.com/episode-1-ventures/in-the-hot-seat-with-hector-mason-c9c6bc0ff18a</x:v>
      </x:c>
      <x:c r="M95" s="39" t="str">
        <x:v>Verificado</x:v>
      </x:c>
      <x:c r="N95" s="39" t="str">
        <x:v>Alta</x:v>
      </x:c>
      <x:c r="O95" s="39" t="str">
        <x:v>Avaliar contexto</x:v>
      </x:c>
      <x:c r="P95" s="39" t="str">
        <x:v>Baixa</x:v>
      </x:c>
      <x:c r="Q95" s="39" t="str">
        <x:v>Declaração pessoal. Aprendizagem empresarial auto-divulgada; cargo de 2019 não é usado como cargo atual. Sugestão de abordagem redigida por nós, não citação. Fonte consultada em 2026-09-09. Lote 2.</x:v>
      </x:c>
    </x:row>
    <x:row r="96" ht="112" customHeight="1">
      <x:c r="A96" s="39" t="str">
        <x:v>HOK0095</x:v>
      </x:c>
      <x:c r="B96" s="39" t="str">
        <x:v>INV033</x:v>
      </x:c>
      <x:c r="C96" s="39" t="str">
        <x:v>PER0235</x:v>
      </x:c>
      <x:c r="D96" s="39" t="str">
        <x:v>Episode 1</x:v>
      </x:c>
      <x:c r="E96" s="39" t="str">
        <x:v>Adam Shuaib</x:v>
      </x:c>
      <x:c r="F96" s="39" t="str">
        <x:v>Publicação LinkedIn</x:v>
      </x:c>
      <x:c r="G96" s="39" t="str">
        <x:v>Modelo de IA para resultados de startups seed</x:v>
      </x:c>
      <x:c r="H96" s="39" t="str"/>
      <x:c r="I96" s="39" t="str">
        <x:v>Dados; sourcing; métricas</x:v>
      </x:c>
      <x:c r="J96" s="39" t="str">
        <x:v>Relata um modelo treinado em 15 mil empresas e destaca runway, experiência prévia e composição da equipa.</x:v>
      </x:c>
      <x:c r="K96" s="39" t="str">
        <x:v>No caso SaaS: perguntar como mede precisão fora da amostra e como evita dados desatualizados no sourcing.</x:v>
      </x:c>
      <x:c r="L96" s="39" t="str">
        <x:v>https://www.linkedin.com/posts/adamshuaib_at-episode-1-weve-built-an-ai-model-trained-activity-7272528423053381635-HA9x</x:v>
      </x:c>
      <x:c r="M96" s="39" t="str">
        <x:v>Verificado</x:v>
      </x:c>
      <x:c r="N96" s="39" t="str">
        <x:v>Alta</x:v>
      </x:c>
      <x:c r="O96" s="39" t="str">
        <x:v>Avaliar contexto</x:v>
      </x:c>
      <x:c r="P96" s="39" t="str">
        <x:v>Baixa</x:v>
      </x:c>
      <x:c r="Q96" s="39" t="str">
        <x:v>Alegação do autor. Não reproduzir alegações preditivas como validação independente nem usar inferências psicológicas para classificar pessoas. Sugestão de abordagem redigida por nós, não citação. Fonte consultada em 2026-09-09. Lote 2.</x:v>
      </x:c>
    </x:row>
    <x:row r="97" ht="112" customHeight="1">
      <x:c r="A97" s="39" t="str">
        <x:v>HOK0096</x:v>
      </x:c>
      <x:c r="B97" s="39" t="str">
        <x:v>INV033</x:v>
      </x:c>
      <x:c r="C97" s="39" t="str">
        <x:v>PER0236</x:v>
      </x:c>
      <x:c r="D97" s="39" t="str">
        <x:v>Episode 1</x:v>
      </x:c>
      <x:c r="E97" s="39" t="str">
        <x:v>Simon Murdoch</x:v>
      </x:c>
      <x:c r="F97" s="39" t="str">
        <x:v>Artigo de autoria pessoal</x:v>
      </x:c>
      <x:c r="G97" s="39" t="str">
        <x:v>Is your start up a business or a pet project?</x:v>
      </x:c>
      <x:c r="H97" s="39" t="str">
        <x:v>2016-04-05</x:v>
      </x:c>
      <x:c r="I97" s="39" t="str">
        <x:v>Validação; disposição para pagar</x:v>
      </x:c>
      <x:c r="J97" s="39" t="str">
        <x:v>Usa FriendsAbroad para explicar o risco de construir algo desejado pelo founder sem procura pagante.</x:v>
      </x:c>
      <x:c r="K97" s="39" t="str">
        <x:v>Mostrar entrevistas com compradores e testes de preço; perguntar que evidência separa interesse de intenção de compra.</x:v>
      </x:c>
      <x:c r="L97" s="39" t="str">
        <x:v>https://www.linkedin.com/pulse/your-start-up-business-pet-project-simon-murdoch</x:v>
      </x:c>
      <x:c r="M97" s="39" t="str">
        <x:v>Verificado</x:v>
      </x:c>
      <x:c r="N97" s="39" t="str">
        <x:v>Alta</x:v>
      </x:c>
      <x:c r="O97" s="39" t="str">
        <x:v>Avaliar contexto</x:v>
      </x:c>
      <x:c r="P97" s="39" t="str">
        <x:v>Baixa</x:v>
      </x:c>
      <x:c r="Q97" s="39" t="str">
        <x:v>Declaração pessoal. Conteúdo de 2016; não transportar limiares financeiros históricos para a tese atual. Sugestão de abordagem redigida por nós, não citação. Fonte consultada em 2026-09-09. Lote 2.</x:v>
      </x:c>
    </x:row>
    <x:row r="98" ht="112" customHeight="1">
      <x:c r="A98" s="39" t="str">
        <x:v>HOK0097</x:v>
      </x:c>
      <x:c r="B98" s="39" t="str">
        <x:v>INV033</x:v>
      </x:c>
      <x:c r="C98" s="39" t="str">
        <x:v>PER0238</x:v>
      </x:c>
      <x:c r="D98" s="39" t="str">
        <x:v>Episode 1</x:v>
      </x:c>
      <x:c r="E98" s="39" t="str">
        <x:v>Adrian Lloyd</x:v>
      </x:c>
      <x:c r="F98" s="39" t="str">
        <x:v>Entrevista</x:v>
      </x:c>
      <x:c r="G98" s="39" t="str">
        <x:v>Adrian Lloyd — entrevista sobre founders e venture</x:v>
      </x:c>
      <x:c r="H98" s="39" t="str">
        <x:v>2021-09-02</x:v>
      </x:c>
      <x:c r="I98" s="39" t="str">
        <x:v>Founder; escolha de carreira; execução</x:v>
      </x:c>
      <x:c r="J98" s="39" t="str">
        <x:v>Procura founders fortes que escolhem construir e valoriza experiência operacional.</x:v>
      </x:c>
      <x:c r="K98" s="39" t="str">
        <x:v>Explicar por que esta equipa escolheu este problema e qual vantagem concreta decorre do trabalho anterior.</x:v>
      </x:c>
      <x:c r="L98" s="39" t="str">
        <x:v>https://unicorn-nest.com/media/interviews/adrian-lloyd-episode-1-ventures/</x:v>
      </x:c>
      <x:c r="M98" s="39" t="str">
        <x:v>Verificado</x:v>
      </x:c>
      <x:c r="N98" s="39" t="str">
        <x:v>Alta</x:v>
      </x:c>
      <x:c r="O98" s="39" t="str">
        <x:v>Avaliar contexto</x:v>
      </x:c>
      <x:c r="P98" s="39" t="str">
        <x:v>Baixa</x:v>
      </x:c>
      <x:c r="Q98" s="39" t="str">
        <x:v>Declaração pessoal.  Sugestão de abordagem redigida por nós, não citação. Fonte consultada em 2026-09-09. Lote 2.</x:v>
      </x:c>
    </x:row>
    <x:row r="99" ht="112" customHeight="1">
      <x:c r="A99" s="39" t="str">
        <x:v>HOK0098</x:v>
      </x:c>
      <x:c r="B99" s="39" t="str">
        <x:v>INV033</x:v>
      </x:c>
      <x:c r="C99" s="39" t="str">
        <x:v>PER0238</x:v>
      </x:c>
      <x:c r="D99" s="39" t="str">
        <x:v>Episode 1</x:v>
      </x:c>
      <x:c r="E99" s="39" t="str">
        <x:v>Adrian Lloyd</x:v>
      </x:c>
      <x:c r="F99" s="39" t="str">
        <x:v>Artigo de autoria pessoal</x:v>
      </x:c>
      <x:c r="G99" s="39" t="str">
        <x:v>Octopus &amp; True invest in ThirdEye</x:v>
      </x:c>
      <x:c r="H99" s="39" t="str">
        <x:v>2019-03-22</x:v>
      </x:c>
      <x:c r="I99" s="39" t="str">
        <x:v>Enterprise; procurement; equipa</x:v>
      </x:c>
      <x:c r="J99" s="39" t="str">
        <x:v>Destaca capacidade do CEO de recrutar engenharia e gerir ciclos comerciais difíceis em grandes retalhistas.</x:v>
      </x:c>
      <x:c r="K99" s="39" t="str">
        <x:v>Mostrar como tens avançado com procurement e que contratação desbloqueia a entrega ao cliente.</x:v>
      </x:c>
      <x:c r="L99" s="39" t="str">
        <x:v>https://medium.com/%40adrianelloyd/octopus-true-invest-in-thirdeye-b58b4239d835</x:v>
      </x:c>
      <x:c r="M99" s="39" t="str">
        <x:v>Verificado</x:v>
      </x:c>
      <x:c r="N99" s="39" t="str">
        <x:v>Alta</x:v>
      </x:c>
      <x:c r="O99" s="39" t="str">
        <x:v>Avaliar contexto</x:v>
      </x:c>
      <x:c r="P99" s="39" t="str">
        <x:v>Baixa</x:v>
      </x:c>
      <x:c r="Q99" s="39" t="str">
        <x:v>Declaração pessoal.  Sugestão de abordagem redigida por nós, não citação. Fonte consultada em 2026-09-09. Lote 2.</x:v>
      </x:c>
    </x:row>
    <x:row r="100" ht="112" customHeight="1">
      <x:c r="A100" s="39" t="str">
        <x:v>HOK0099</x:v>
      </x:c>
      <x:c r="B100" s="39" t="str">
        <x:v>INV034</x:v>
      </x:c>
      <x:c r="C100" s="39" t="str">
        <x:v>PER0241</x:v>
      </x:c>
      <x:c r="D100" s="39" t="str">
        <x:v>Concept Ventures</x:v>
      </x:c>
      <x:c r="E100" s="39" t="str">
        <x:v>Reece Chowdhry</x:v>
      </x:c>
      <x:c r="F100" s="39" t="str">
        <x:v>Perfil oficial</x:v>
      </x:c>
      <x:c r="G100" s="39" t="str">
        <x:v>Reece Chowdhry — aprendizagens como operador</x:v>
      </x:c>
      <x:c r="H100" s="39" t="str"/>
      <x:c r="I100" s="39" t="str">
        <x:v>Founder; pessoas; resiliência</x:v>
      </x:c>
      <x:c r="J100" s="39" t="str">
        <x:v>Liga experiências de sucesso e insucesso em startups à importância das pessoas na construção da empresa.</x:v>
      </x:c>
      <x:c r="K100" s="39" t="str">
        <x:v>Apresentar uma decisão difícil tomada pela equipa e a mudança de comportamento que dela resultou.</x:v>
      </x:c>
      <x:c r="L100" s="39" t="str">
        <x:v>https://concept.vc/team-members/reece-chowdhry</x:v>
      </x:c>
      <x:c r="M100" s="39" t="str">
        <x:v>Verificado</x:v>
      </x:c>
      <x:c r="N100" s="39" t="str">
        <x:v>Alta</x:v>
      </x:c>
      <x:c r="O100" s="39" t="str">
        <x:v>Avaliar contexto</x:v>
      </x:c>
      <x:c r="P100" s="39" t="str">
        <x:v>Baixa</x:v>
      </x:c>
      <x:c r="Q100" s="39" t="str">
        <x:v>Perfil institucional.  Sugestão de abordagem redigida por nós, não citação. Fonte consultada em 2026-09-09. Lote 2.</x:v>
      </x:c>
    </x:row>
    <x:row r="101" ht="112" customHeight="1">
      <x:c r="A101" s="39" t="str">
        <x:v>HOK0100</x:v>
      </x:c>
      <x:c r="B101" s="39" t="str">
        <x:v>INV034</x:v>
      </x:c>
      <x:c r="C101" s="39" t="str">
        <x:v>PER0242</x:v>
      </x:c>
      <x:c r="D101" s="39" t="str">
        <x:v>Concept Ventures</x:v>
      </x:c>
      <x:c r="E101" s="39" t="str">
        <x:v>Oliver Kicks</x:v>
      </x:c>
      <x:c r="F101" s="39" t="str">
        <x:v>Perfil oficial</x:v>
      </x:c>
      <x:c r="G101" s="39" t="str">
        <x:v>Oliver Kicks — apoio do primeiro cheque à escala</x:v>
      </x:c>
      <x:c r="H101" s="39" t="str"/>
      <x:c r="I101" s="39" t="str">
        <x:v>GTM; recrutamento; follow-on</x:v>
      </x:c>
      <x:c r="J101" s="39" t="str">
        <x:v>Trabalha com founders em contratações iniciais, fundraising e estratégia de produto e GTM.</x:v>
      </x:c>
      <x:c r="K101" s="39" t="str">
        <x:v>Levar a primeira contratação sénior em análise e explicar o problema que deve resolver antes da próxima ronda.</x:v>
      </x:c>
      <x:c r="L101" s="39" t="str">
        <x:v>https://concept.vc/team-members/oliver-kicks</x:v>
      </x:c>
      <x:c r="M101" s="39" t="str">
        <x:v>Verificado</x:v>
      </x:c>
      <x:c r="N101" s="39" t="str">
        <x:v>Alta</x:v>
      </x:c>
      <x:c r="O101" s="39" t="str">
        <x:v>Avaliar contexto</x:v>
      </x:c>
      <x:c r="P101" s="39" t="str">
        <x:v>Baixa</x:v>
      </x:c>
      <x:c r="Q101" s="39" t="str">
        <x:v>Perfil institucional.  Sugestão de abordagem redigida por nós, não citação. Fonte consultada em 2026-09-09. Lote 2.</x:v>
      </x:c>
    </x:row>
    <x:row r="102" ht="112" customHeight="1">
      <x:c r="A102" s="39" t="str">
        <x:v>HOK0101</x:v>
      </x:c>
      <x:c r="B102" s="39" t="str">
        <x:v>INV034</x:v>
      </x:c>
      <x:c r="C102" s="39" t="str">
        <x:v>PER0243</x:v>
      </x:c>
      <x:c r="D102" s="39" t="str">
        <x:v>Concept Ventures</x:v>
      </x:c>
      <x:c r="E102" s="39" t="str">
        <x:v>Jeff Chowdhry</x:v>
      </x:c>
      <x:c r="F102" s="39" t="str">
        <x:v>Perfil oficial</x:v>
      </x:c>
      <x:c r="G102" s="39" t="str">
        <x:v>Jeff Chowdhry — serviços financeiros e follow-on</x:v>
      </x:c>
      <x:c r="H102" s="39" t="str"/>
      <x:c r="I102" s="39" t="str">
        <x:v>Fintech; asset management; capital</x:v>
      </x:c>
      <x:c r="J102" s="39" t="str">
        <x:v>Lidera investimentos em serviços financeiros e avaliação de follow-on.</x:v>
      </x:c>
      <x:c r="K102" s="39" t="str">
        <x:v>No caso SaaS para investidores: definir o comprador, o orçamento e o marco comercial que justificará o cheque seguinte.</x:v>
      </x:c>
      <x:c r="L102" s="39" t="str">
        <x:v>https://concept.vc/team-members/jeff-chowdhry</x:v>
      </x:c>
      <x:c r="M102" s="39" t="str">
        <x:v>Verificado</x:v>
      </x:c>
      <x:c r="N102" s="39" t="str">
        <x:v>Alta</x:v>
      </x:c>
      <x:c r="O102" s="39" t="str">
        <x:v>Avaliar contexto</x:v>
      </x:c>
      <x:c r="P102" s="39" t="str">
        <x:v>Baixa</x:v>
      </x:c>
      <x:c r="Q102" s="39" t="str">
        <x:v>Perfil institucional.  Sugestão de abordagem redigida por nós, não citação. Fonte consultada em 2026-09-09. Lote 2.</x:v>
      </x:c>
    </x:row>
    <x:row r="103" ht="112" customHeight="1">
      <x:c r="A103" s="39" t="str">
        <x:v>HOK0102</x:v>
      </x:c>
      <x:c r="B103" s="39" t="str">
        <x:v>INV034</x:v>
      </x:c>
      <x:c r="C103" s="39" t="str">
        <x:v>PER0244</x:v>
      </x:c>
      <x:c r="D103" s="39" t="str">
        <x:v>Concept Ventures</x:v>
      </x:c>
      <x:c r="E103" s="39" t="str">
        <x:v>Hugo Hazon</x:v>
      </x:c>
      <x:c r="F103" s="39" t="str">
        <x:v>Perfil oficial</x:v>
      </x:c>
      <x:c r="G103" s="39" t="str">
        <x:v>Hugo Hazon — enterprise e avaliação técnica</x:v>
      </x:c>
      <x:c r="H103" s="39" t="str"/>
      <x:c r="I103" s="39" t="str">
        <x:v>Enterprise; tecnologia; produto</x:v>
      </x:c>
      <x:c r="J103" s="39" t="str">
        <x:v>O percurso na Illuminate inclui B2B enterprise; participa na avaliação de oportunidades técnicas.</x:v>
      </x:c>
      <x:c r="K103" s="39" t="str">
        <x:v>Mostrar a integração com a infraestrutura do cliente e qual prova técnica reduz o risco da adoção.</x:v>
      </x:c>
      <x:c r="L103" s="39" t="str">
        <x:v>https://concept.vc/team-members/hugo-hazon</x:v>
      </x:c>
      <x:c r="M103" s="39" t="str">
        <x:v>Verificado</x:v>
      </x:c>
      <x:c r="N103" s="39" t="str">
        <x:v>Alta</x:v>
      </x:c>
      <x:c r="O103" s="39" t="str">
        <x:v>Avaliar contexto</x:v>
      </x:c>
      <x:c r="P103" s="39" t="str">
        <x:v>Baixa</x:v>
      </x:c>
      <x:c r="Q103" s="39" t="str">
        <x:v>Perfil institucional.  Sugestão de abordagem redigida por nós, não citação. Fonte consultada em 2026-09-09. Lote 2.</x:v>
      </x:c>
    </x:row>
    <x:row r="104" ht="112" customHeight="1">
      <x:c r="A104" s="39" t="str">
        <x:v>HOK0103</x:v>
      </x:c>
      <x:c r="B104" s="39" t="str">
        <x:v>INV034</x:v>
      </x:c>
      <x:c r="C104" s="39" t="str">
        <x:v>PER0245</x:v>
      </x:c>
      <x:c r="D104" s="39" t="str">
        <x:v>Concept Ventures</x:v>
      </x:c>
      <x:c r="E104" s="39" t="str">
        <x:v>Anrea Munsamy</x:v>
      </x:c>
      <x:c r="F104" s="39" t="str">
        <x:v>Perfil oficial</x:v>
      </x:c>
      <x:c r="G104" s="39" t="str">
        <x:v>Anrea Munsamy — operações e Venture Pledge</x:v>
      </x:c>
      <x:c r="H104" s="39" t="str"/>
      <x:c r="I104" s="39" t="str">
        <x:v>Operações; causas públicas; apoio</x:v>
      </x:c>
      <x:c r="J104" s="39" t="str">
        <x:v>Coordena operações e apoio ao portfólio e promove o Venture Pledge.</x:v>
      </x:c>
      <x:c r="K104" s="39" t="str">
        <x:v>Para uma empresa já próxima do fundo, perguntar como funciona o apoio operacional ou a participação dos founders no Venture Pledge.</x:v>
      </x:c>
      <x:c r="L104" s="39" t="str">
        <x:v>https://concept.vc/team-members/anrea</x:v>
      </x:c>
      <x:c r="M104" s="39" t="str">
        <x:v>Verificado</x:v>
      </x:c>
      <x:c r="N104" s="39" t="str">
        <x:v>Alta</x:v>
      </x:c>
      <x:c r="O104" s="39" t="str">
        <x:v>Avaliar contexto</x:v>
      </x:c>
      <x:c r="P104" s="39" t="str">
        <x:v>Baixa</x:v>
      </x:c>
      <x:c r="Q104" s="39" t="str">
        <x:v>Perfil institucional. Contacto de apoio; não apresentar como destinatária principal de pedido de investimento. Sugestão de abordagem redigida por nós, não citação. Fonte consultada em 2026-09-09. Lote 2.</x:v>
      </x:c>
    </x:row>
    <x:row r="105" ht="112" customHeight="1">
      <x:c r="A105" s="39" t="str">
        <x:v>HOK0104</x:v>
      </x:c>
      <x:c r="B105" s="39" t="str">
        <x:v>INV034</x:v>
      </x:c>
      <x:c r="C105" s="39" t="str">
        <x:v>PER0246</x:v>
      </x:c>
      <x:c r="D105" s="39" t="str">
        <x:v>Concept Ventures</x:v>
      </x:c>
      <x:c r="E105" s="39" t="str">
        <x:v>Kudei Sawyer Moses</x:v>
      </x:c>
      <x:c r="F105" s="39" t="str">
        <x:v>Perfil oficial</x:v>
      </x:c>
      <x:c r="G105" s="39" t="str">
        <x:v>Kudei Sawyer Moses — comunidade e comunicações</x:v>
      </x:c>
      <x:c r="H105" s="39" t="str"/>
      <x:c r="I105" s="39" t="str">
        <x:v>Eventos; comunidade; relações</x:v>
      </x:c>
      <x:c r="J105" s="39" t="str">
        <x:v>Organiza a comunidade, eventos e comunicação com os investidores do fundo.</x:v>
      </x:c>
      <x:c r="K105" s="39" t="str">
        <x:v>Propor participação num evento com um exemplo útil para outros founders, ou perguntar que formatos a comunidade procura.</x:v>
      </x:c>
      <x:c r="L105" s="39" t="str">
        <x:v>https://concept.vc/team-members/kudei-sawyer-moses</x:v>
      </x:c>
      <x:c r="M105" s="39" t="str">
        <x:v>Verificado</x:v>
      </x:c>
      <x:c r="N105" s="39" t="str">
        <x:v>Alta</x:v>
      </x:c>
      <x:c r="O105" s="39" t="str">
        <x:v>Avaliar contexto</x:v>
      </x:c>
      <x:c r="P105" s="39" t="str">
        <x:v>Baixa</x:v>
      </x:c>
      <x:c r="Q105" s="39" t="str">
        <x:v>Perfil institucional. Rota de comunidade; não decisora de investimento. Sugestão de abordagem redigida por nós, não citação. Fonte consultada em 2026-09-09. Lote 2.</x:v>
      </x:c>
    </x:row>
    <x:row r="106" ht="112" customHeight="1">
      <x:c r="A106" s="39" t="str">
        <x:v>HOK0105</x:v>
      </x:c>
      <x:c r="B106" s="39" t="str">
        <x:v>INV035</x:v>
      </x:c>
      <x:c r="C106" s="39" t="str">
        <x:v>PER0247</x:v>
      </x:c>
      <x:c r="D106" s="39" t="str">
        <x:v>Empirical Ventures</x:v>
      </x:c>
      <x:c r="E106" s="39" t="str">
        <x:v>Ben Miles</x:v>
      </x:c>
      <x:c r="F106" s="39" t="str">
        <x:v>Declaração em anúncio</x:v>
      </x:c>
      <x:c r="G106" s="39" t="str">
        <x:v>Nuclear Turbines raises £15m pre-seed to put a reactor next to the factory</x:v>
      </x:c>
      <x:c r="H106" s="39" t="str">
        <x:v>2026-07-27</x:v>
      </x:c>
      <x:c r="I106" s="39" t="str">
        <x:v>Deeptech; economia; venture studio</x:v>
      </x:c>
      <x:c r="J106" s="39" t="str">
        <x:v>Defende começar pelo custo-alvo da solução e desenhar a tecnologia a partir desse objetivo comercial.</x:v>
      </x:c>
      <x:c r="K106" s="39" t="str">
        <x:v>Mostrar o custo final pretendido e o percurso de engenharia necessário para o atingir; perguntar qual hipótese testar primeiro.</x:v>
      </x:c>
      <x:c r="L106" s="39" t="str">
        <x:v>https://www.empiricalventures.vc/news/nuclear-turbines-raises-15m-pre-seed</x:v>
      </x:c>
      <x:c r="M106" s="39" t="str">
        <x:v>Verificado</x:v>
      </x:c>
      <x:c r="N106" s="39" t="str">
        <x:v>Alta</x:v>
      </x:c>
      <x:c r="O106" s="39" t="str">
        <x:v>Avaliar contexto</x:v>
      </x:c>
      <x:c r="P106" s="39" t="str">
        <x:v>Baixa</x:v>
      </x:c>
      <x:c r="Q106" s="39" t="str">
        <x:v>Declaração pessoal. A ronda total não é o cheque da Empirical. Síntese da fala atribuída a Ben. Sugestão de abordagem redigida por nós, não citação. Fonte consultada em 2026-09-09. Lote 2.</x:v>
      </x:c>
    </x:row>
    <x:row r="107" ht="112" customHeight="1">
      <x:c r="A107" s="39" t="str">
        <x:v>HOK0106</x:v>
      </x:c>
      <x:c r="B107" s="39" t="str">
        <x:v>INV035</x:v>
      </x:c>
      <x:c r="C107" s="39" t="str">
        <x:v>PER0248</x:v>
      </x:c>
      <x:c r="D107" s="39" t="str">
        <x:v>Empirical Ventures</x:v>
      </x:c>
      <x:c r="E107" s="39" t="str">
        <x:v>Johnathan Matlock</x:v>
      </x:c>
      <x:c r="F107" s="39" t="str">
        <x:v>Declaração em anúncio</x:v>
      </x:c>
      <x:c r="G107" s="39" t="str">
        <x:v>Nuclear Turbines — comentário de Johnathan Matlock</x:v>
      </x:c>
      <x:c r="H107" s="39" t="str">
        <x:v>2026-07-27</x:v>
      </x:c>
      <x:c r="I107" s="39" t="str">
        <x:v>Deeptech; IP; formação de empresa</x:v>
      </x:c>
      <x:c r="J107" s="39" t="str">
        <x:v>Defende combinar investigação e engenharia para transformar ciência em empresas, incluindo através do studio.</x:v>
      </x:c>
      <x:c r="K107" s="39" t="str">
        <x:v>Se ainda não há empresa, apresentar IP, equipa e trabalho por fazer na transferência tecnológica.</x:v>
      </x:c>
      <x:c r="L107" s="39" t="str">
        <x:v>https://www.empiricalventures.vc/news/nuclear-turbines-raises-15m-pre-seed</x:v>
      </x:c>
      <x:c r="M107" s="39" t="str">
        <x:v>Verificado</x:v>
      </x:c>
      <x:c r="N107" s="39" t="str">
        <x:v>Alta</x:v>
      </x:c>
      <x:c r="O107" s="39" t="str">
        <x:v>Avaliar contexto</x:v>
      </x:c>
      <x:c r="P107" s="39" t="str">
        <x:v>Baixa</x:v>
      </x:c>
      <x:c r="Q107" s="39" t="str">
        <x:v>Declaração pessoal.  Sugestão de abordagem redigida por nós, não citação. Fonte consultada em 2026-09-09. Lote 2.</x:v>
      </x:c>
    </x:row>
    <x:row r="108" ht="112" customHeight="1">
      <x:c r="A108" s="39" t="str">
        <x:v>HOK0107</x:v>
      </x:c>
      <x:c r="B108" s="39" t="str">
        <x:v>INV035</x:v>
      </x:c>
      <x:c r="C108" s="39" t="str">
        <x:v>PER0247</x:v>
      </x:c>
      <x:c r="D108" s="39" t="str">
        <x:v>Empirical Ventures</x:v>
      </x:c>
      <x:c r="E108" s="39" t="str">
        <x:v>Ben Miles</x:v>
      </x:c>
      <x:c r="F108" s="39" t="str">
        <x:v>Caso institucional de sourcing</x:v>
      </x:c>
      <x:c r="G108" s="39" t="str">
        <x:v>Empirical Ventures backs Proxima Fusion</x:v>
      </x:c>
      <x:c r="H108" s="39" t="str">
        <x:v>2026-07-04</x:v>
      </x:c>
      <x:c r="I108" s="39" t="str">
        <x:v>Conteúdo; dealflow; deeptech</x:v>
      </x:c>
      <x:c r="J108" s="39" t="str">
        <x:v>A entidade diz que a oportunidade Proxima surgiu através da plataforma de divulgação de Ben.</x:v>
      </x:c>
      <x:c r="K108" s="39" t="str">
        <x:v>Perguntar que elementos de divulgação técnica atraem founders e investidores certos sem expor propriedade intelectual.</x:v>
      </x:c>
      <x:c r="L108" s="39" t="str">
        <x:v>https://www.empiricalventures.vc/news/proxima-fusion-empirical-ventures-backs-europes-leading-fusion-company</x:v>
      </x:c>
      <x:c r="M108" s="39" t="str">
        <x:v>Verificado</x:v>
      </x:c>
      <x:c r="N108" s="39" t="str">
        <x:v>Alta</x:v>
      </x:c>
      <x:c r="O108" s="39" t="str">
        <x:v>Avaliar contexto</x:v>
      </x:c>
      <x:c r="P108" s="39" t="str">
        <x:v>Baixa</x:v>
      </x:c>
      <x:c r="Q108" s="39" t="str">
        <x:v>Relato institucional sobre a pessoa. A afirmação pertence à entidade; não é uma frase pessoal de Ben. Sugestão de abordagem redigida por nós, não citação. Fonte consultada em 2026-09-09. Lote 2.</x:v>
      </x:c>
    </x:row>
    <x:row r="109" ht="112" customHeight="1">
      <x:c r="A109" s="39" t="str">
        <x:v>HOK0108</x:v>
      </x:c>
      <x:c r="B109" s="39" t="str">
        <x:v>INV035</x:v>
      </x:c>
      <x:c r="C109" s="39" t="str">
        <x:v>PER0248</x:v>
      </x:c>
      <x:c r="D109" s="39" t="str">
        <x:v>Empirical Ventures</x:v>
      </x:c>
      <x:c r="E109" s="39" t="str">
        <x:v>Johnathan Matlock</x:v>
      </x:c>
      <x:c r="F109" s="39" t="str">
        <x:v>Perfil oficial</x:v>
      </x:c>
      <x:c r="G109" s="39" t="str">
        <x:v>Johnathan Matlock — technical due diligence</x:v>
      </x:c>
      <x:c r="H109" s="39" t="str"/>
      <x:c r="I109" s="39" t="str">
        <x:v>Diligência; ciência; risco</x:v>
      </x:c>
      <x:c r="J109" s="39" t="str">
        <x:v>Lidera parte substancial da diligência técnica, apoiado no percurso em química e Ziylo.</x:v>
      </x:c>
      <x:c r="K109" s="39" t="str">
        <x:v>Enviar uma hipótese científica falsificável, dados de validação e a incerteza que o próximo ensaio resolve.</x:v>
      </x:c>
      <x:c r="L109" s="39" t="str">
        <x:v>https://www.empiricalventures.vc/team</x:v>
      </x:c>
      <x:c r="M109" s="39" t="str">
        <x:v>Verificado</x:v>
      </x:c>
      <x:c r="N109" s="39" t="str">
        <x:v>Alta</x:v>
      </x:c>
      <x:c r="O109" s="39" t="str">
        <x:v>Avaliar contexto</x:v>
      </x:c>
      <x:c r="P109" s="39" t="str">
        <x:v>Baixa</x:v>
      </x:c>
      <x:c r="Q109" s="39" t="str">
        <x:v>Perfil institucional.  Sugestão de abordagem redigida por nós, não citação. Fonte consultada em 2026-09-09. Lote 2.</x:v>
      </x:c>
    </x:row>
  </x:sheetData>
  <x:conditionalFormatting sqref="M2:M109">
    <x:cfRule type="containsText" dxfId="5" priority="1" operator="containsText" text="Verificado"/>
  </x:conditionalFormatting>
  <x:pageMargins left="0.7" right="0.7" top="0.75" bottom="0.75" header="0.3" footer="0.3"/>
  <x:tableParts count="1">
    <x:tablePart xmlns:r="http://schemas.openxmlformats.org/officeDocument/2006/relationships" r:id="R896f05e4339e4d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24" hidden="0" customWidth="1"/>
    <x:col min="5" max="5" width="24" hidden="0" customWidth="1"/>
    <x:col min="6" max="6" width="22" hidden="0" customWidth="1"/>
    <x:col min="7" max="7" width="42" hidden="0" customWidth="1"/>
    <x:col min="8" max="8" width="52" hidden="0" customWidth="1"/>
    <x:col min="9" max="9" width="60" hidden="0" customWidth="1"/>
    <x:col min="10" max="10" width="20" hidden="0" customWidth="1"/>
    <x:col min="11" max="11" width="16" hidden="0" customWidth="1"/>
    <x:col min="12" max="12" width="55" hidden="0" customWidth="1"/>
    <x:col min="13" max="13" width="16" hidden="0" customWidth="1"/>
    <x:col min="14" max="14" width="16" hidden="0" customWidth="1"/>
    <x:col min="15" max="15" width="42" hidden="0" customWidth="1"/>
  </x:cols>
  <x:sheetData>
    <x:row r="1" ht="34" customHeight="1">
      <x:c r="A1" s="42" t="str">
        <x:v>ID_Sinal</x:v>
      </x:c>
      <x:c r="B1" s="42" t="str">
        <x:v>ID_Investidor</x:v>
      </x:c>
      <x:c r="C1" s="42" t="str">
        <x:v>ID_Pessoa</x:v>
      </x:c>
      <x:c r="D1" s="42" t="str">
        <x:v>Investidor</x:v>
      </x:c>
      <x:c r="E1" s="42" t="str">
        <x:v>Pessoa</x:v>
      </x:c>
      <x:c r="F1" s="42" t="str">
        <x:v>Categoria</x:v>
      </x:c>
      <x:c r="G1" s="42" t="str">
        <x:v>Sinal_Público</x:v>
      </x:c>
      <x:c r="H1" s="42" t="str">
        <x:v>Contexto_da_Fonte</x:v>
      </x:c>
      <x:c r="I1" s="42" t="str">
        <x:v>Hook_Seguro</x:v>
      </x:c>
      <x:c r="J1" s="42" t="str">
        <x:v>Adequação_Outreach</x:v>
      </x:c>
      <x:c r="K1" s="42" t="str">
        <x:v>Sensibilidade</x:v>
      </x:c>
      <x:c r="L1" s="42" t="str">
        <x:v>URL_Fonte</x:v>
      </x:c>
      <x:c r="M1" s="42" t="str">
        <x:v>Data_Verificação</x:v>
      </x:c>
      <x:c r="N1" s="42" t="str">
        <x:v>Estado</x:v>
      </x:c>
      <x:c r="O1" s="42" t="str">
        <x:v>Notas</x:v>
      </x:c>
    </x:row>
    <x:row r="2" ht="40" customHeight="1">
      <x:c r="A2" s="39" t="str">
        <x:v>SIG0001</x:v>
      </x:c>
      <x:c r="B2" s="39" t="str">
        <x:v>INV005</x:v>
      </x:c>
      <x:c r="C2" s="39" t="str">
        <x:v>PER0022</x:v>
      </x:c>
      <x:c r="D2" s="39" t="str">
        <x:v>Speedinvest</x:v>
      </x:c>
      <x:c r="E2" s="39" t="str">
        <x:v>Marie-Hélène Ametsreiter</x:v>
      </x:c>
      <x:c r="F2" s="39" t="str">
        <x:v>Interesse público</x:v>
      </x:c>
      <x:c r="G2" s="39" t="str">
        <x:v>Montanha, viagens e política</x:v>
      </x:c>
      <x:c r="H2" s="39" t="str">
        <x:v>Interesses declarados no perfil oficial.</x:v>
      </x:c>
      <x:c r="I2" s="39" t="str">
        <x:v>Se surgir naturalmente, relacionar resiliência de longo prazo ou contexto político do setor; não usar como abertura artificial.</x:v>
      </x:c>
      <x:c r="J2" s="39" t="str">
        <x:v>Secundário</x:v>
      </x:c>
      <x:c r="K2" s="39" t="str">
        <x:v>Baixa</x:v>
      </x:c>
      <x:c r="L2" s="39" t="str">
        <x:v>https://www.speedinvest.com/team-members/marie-helene-ametsreiter</x:v>
      </x:c>
      <x:c r="M2" s="44" t="str">
        <x:v>2026-09-09</x:v>
      </x:c>
      <x:c r="N2" s="39" t="str">
        <x:v>Verificado</x:v>
      </x:c>
      <x:c r="O2" s="39" t="str"/>
    </x:row>
    <x:row r="3" ht="40" customHeight="1">
      <x:c r="A3" s="39" t="str">
        <x:v>SIG0002</x:v>
      </x:c>
      <x:c r="B3" s="39" t="str">
        <x:v>INV010</x:v>
      </x:c>
      <x:c r="C3" s="39" t="str">
        <x:v>PER0068</x:v>
      </x:c>
      <x:c r="D3" s="39" t="str">
        <x:v>Creandum</x:v>
      </x:c>
      <x:c r="E3" s="39" t="str">
        <x:v>Staffan Helgesson</x:v>
      </x:c>
      <x:c r="F3" s="39" t="str">
        <x:v>Interesse / valor</x:v>
      </x:c>
      <x:c r="G3" s="39" t="str">
        <x:v>Desporto e trabalho de equipa</x:v>
      </x:c>
      <x:c r="H3" s="39" t="str">
        <x:v>O perfil relaciona desporto com aprendizagem sobre equipas.</x:v>
      </x:c>
      <x:c r="I3" s="39" t="str">
        <x:v>Pode sustentar uma pergunta sobre como constrói equipas fundadoras fortes.</x:v>
      </x:c>
      <x:c r="J3" s="39" t="str">
        <x:v>Bom</x:v>
      </x:c>
      <x:c r="K3" s="39" t="str">
        <x:v>Baixa</x:v>
      </x:c>
      <x:c r="L3" s="39" t="str">
        <x:v>https://creandum.com/team/staffan-helgesson/</x:v>
      </x:c>
      <x:c r="M3" s="44" t="str">
        <x:v>2026-09-09</x:v>
      </x:c>
      <x:c r="N3" s="39" t="str">
        <x:v>Verificado</x:v>
      </x:c>
      <x:c r="O3" s="39" t="str"/>
    </x:row>
    <x:row r="4" ht="40" customHeight="1">
      <x:c r="A4" s="39" t="str">
        <x:v>SIG0003</x:v>
      </x:c>
      <x:c r="B4" s="39" t="str">
        <x:v>INV010</x:v>
      </x:c>
      <x:c r="C4" s="39" t="str">
        <x:v>PER0069</x:v>
      </x:c>
      <x:c r="D4" s="39" t="str">
        <x:v>Creandum</x:v>
      </x:c>
      <x:c r="E4" s="39" t="str">
        <x:v>Carl Fritjofsson</x:v>
      </x:c>
      <x:c r="F4" s="39" t="str">
        <x:v>Interesse / percurso</x:v>
      </x:c>
      <x:c r="G4" s="39" t="str">
        <x:v>Videojogos, internet inicial e experiência como founder</x:v>
      </x:c>
      <x:c r="H4" s="39" t="str">
        <x:v>O perfil liga curiosidade tecnológica precoce à carreira e descreve erros de escala na Wrapp.</x:v>
      </x:c>
      <x:c r="I4" s="39" t="str">
        <x:v>Usar a aprendizagem de founder para discutir disciplina de escala; jogos só se houver afinidade real com o produto.</x:v>
      </x:c>
      <x:c r="J4" s="39" t="str">
        <x:v>Bom</x:v>
      </x:c>
      <x:c r="K4" s="39" t="str">
        <x:v>Baixa</x:v>
      </x:c>
      <x:c r="L4" s="39" t="str">
        <x:v>https://creandum.com/team/carl-fritjofsson/</x:v>
      </x:c>
      <x:c r="M4" s="44" t="str">
        <x:v>2026-09-09</x:v>
      </x:c>
      <x:c r="N4" s="39" t="str">
        <x:v>Verificado</x:v>
      </x:c>
      <x:c r="O4" s="39" t="str"/>
    </x:row>
    <x:row r="5" ht="40" customHeight="1">
      <x:c r="A5" s="39" t="str">
        <x:v>SIG0004</x:v>
      </x:c>
      <x:c r="B5" s="39" t="str">
        <x:v>INV010</x:v>
      </x:c>
      <x:c r="C5" s="39" t="str">
        <x:v>PER0077</x:v>
      </x:c>
      <x:c r="D5" s="39" t="str">
        <x:v>Creandum</x:v>
      </x:c>
      <x:c r="E5" s="39" t="str">
        <x:v>Richard Keuntje</x:v>
      </x:c>
      <x:c r="F5" s="39" t="str">
        <x:v>Interesse / valor</x:v>
      </x:c>
      <x:c r="G5" s="39" t="str">
        <x:v>Família criativa, desenho e curiosidade por culturas</x:v>
      </x:c>
      <x:c r="H5" s="39" t="str">
        <x:v>Perfil oficial liga criatividade, autonomia e responsabilidade à forma como avalia risco.</x:v>
      </x:c>
      <x:c r="I5" s="39" t="str">
        <x:v>Perguntar sobre o cenário em que tudo corre bem e como equilibrar autonomia com responsabilidade.</x:v>
      </x:c>
      <x:c r="J5" s="39" t="str">
        <x:v>Bom</x:v>
      </x:c>
      <x:c r="K5" s="39" t="str">
        <x:v>Baixa</x:v>
      </x:c>
      <x:c r="L5" s="39" t="str">
        <x:v>https://creandum.com/team/richard-keuntje/</x:v>
      </x:c>
      <x:c r="M5" s="44" t="str">
        <x:v>2026-09-09</x:v>
      </x:c>
      <x:c r="N5" s="39" t="str">
        <x:v>Verificado</x:v>
      </x:c>
      <x:c r="O5" s="39" t="str"/>
    </x:row>
    <x:row r="6" ht="40" customHeight="1">
      <x:c r="A6" s="39" t="str">
        <x:v>SIG0005</x:v>
      </x:c>
      <x:c r="B6" s="39" t="str">
        <x:v>INV010</x:v>
      </x:c>
      <x:c r="C6" s="39" t="str">
        <x:v>PER0079</x:v>
      </x:c>
      <x:c r="D6" s="39" t="str">
        <x:v>Creandum</x:v>
      </x:c>
      <x:c r="E6" s="39" t="str">
        <x:v>Maria Raga</x:v>
      </x:c>
      <x:c r="F6" s="39" t="str">
        <x:v>Interesse público</x:v>
      </x:c>
      <x:c r="G6" s="39" t="str">
        <x:v>Culturas, línguas e construção de equipas</x:v>
      </x:c>
      <x:c r="H6" s="39" t="str">
        <x:v>O perfil liga percurso internacional a crescimento pessoal e liderança.</x:v>
      </x:c>
      <x:c r="I6" s="39" t="str">
        <x:v>Se a empresa for internacional, abordar como preservar cultura durante expansão.</x:v>
      </x:c>
      <x:c r="J6" s="39" t="str">
        <x:v>Bom</x:v>
      </x:c>
      <x:c r="K6" s="39" t="str">
        <x:v>Baixa</x:v>
      </x:c>
      <x:c r="L6" s="39" t="str">
        <x:v>https://creandum.com/team/maria-raga/</x:v>
      </x:c>
      <x:c r="M6" s="44" t="str">
        <x:v>2026-09-09</x:v>
      </x:c>
      <x:c r="N6" s="39" t="str">
        <x:v>Verificado</x:v>
      </x:c>
      <x:c r="O6" s="39" t="str"/>
    </x:row>
    <x:row r="7" ht="40" customHeight="1">
      <x:c r="A7" s="39" t="str">
        <x:v>SIG0006</x:v>
      </x:c>
      <x:c r="B7" s="39" t="str">
        <x:v>INV011</x:v>
      </x:c>
      <x:c r="C7" s="39" t="str">
        <x:v>PER0085</x:v>
      </x:c>
      <x:c r="D7" s="39" t="str">
        <x:v>Northzone</x:v>
      </x:c>
      <x:c r="E7" s="39" t="str">
        <x:v>Sanjot Malhi</x:v>
      </x:c>
      <x:c r="F7" s="39" t="str">
        <x:v>Percurso / interesse</x:v>
      </x:c>
      <x:c r="G7" s="39" t="str">
        <x:v>Ex-jogador profissional de futebol; interesse em restaurantes e cheeseburgers</x:v>
      </x:c>
      <x:c r="H7" s="39" t="str">
        <x:v>Factos auto-divulgados no perfil da Northzone.</x:v>
      </x:c>
      <x:c r="I7" s="39" t="str">
        <x:v>Futebol pode apoiar uma analogia leve sobre competição e equipa; evitar referências pessoais gratuitas.</x:v>
      </x:c>
      <x:c r="J7" s="39" t="str">
        <x:v>Secundário</x:v>
      </x:c>
      <x:c r="K7" s="39" t="str">
        <x:v>Baixa</x:v>
      </x:c>
      <x:c r="L7" s="39" t="str">
        <x:v>https://northzone.com/team/sanjot-malhi</x:v>
      </x:c>
      <x:c r="M7" s="44" t="str">
        <x:v>2026-09-09</x:v>
      </x:c>
      <x:c r="N7" s="39" t="str">
        <x:v>Verificado</x:v>
      </x:c>
      <x:c r="O7" s="39" t="str"/>
    </x:row>
    <x:row r="8" ht="40" customHeight="1">
      <x:c r="A8" s="39" t="str">
        <x:v>SIG0007</x:v>
      </x:c>
      <x:c r="B8" s="39" t="str">
        <x:v>INV012</x:v>
      </x:c>
      <x:c r="C8" s="39" t="str">
        <x:v>PER0096</x:v>
      </x:c>
      <x:c r="D8" s="39" t="str">
        <x:v>Project A</x:v>
      </x:c>
      <x:c r="E8" s="39" t="str">
        <x:v>Ben Fischer</x:v>
      </x:c>
      <x:c r="F8" s="39" t="str">
        <x:v>Interesse público</x:v>
      </x:c>
      <x:c r="G8" s="39" t="str">
        <x:v>Mountain bike, splitboard e exploração de locais remotos</x:v>
      </x:c>
      <x:c r="H8" s="39" t="str">
        <x:v>Interesses auto-divulgados no perfil oficial.</x:v>
      </x:c>
      <x:c r="I8" s="39" t="str">
        <x:v>Usar apenas numa conversa já estabelecida ou se houver ligação autêntica a mobilidade/outdoor.</x:v>
      </x:c>
      <x:c r="J8" s="39" t="str">
        <x:v>Secundário</x:v>
      </x:c>
      <x:c r="K8" s="39" t="str">
        <x:v>Baixa</x:v>
      </x:c>
      <x:c r="L8" s="39" t="str">
        <x:v>https://www.project-a.com/team/ben-fischer/</x:v>
      </x:c>
      <x:c r="M8" s="44" t="str">
        <x:v>2026-09-09</x:v>
      </x:c>
      <x:c r="N8" s="39" t="str">
        <x:v>Verificado</x:v>
      </x:c>
      <x:c r="O8" s="39" t="str"/>
    </x:row>
    <x:row r="9" ht="40" customHeight="1">
      <x:c r="A9" s="39" t="str">
        <x:v>SIG0008</x:v>
      </x:c>
      <x:c r="B9" s="39" t="str">
        <x:v>INV012</x:v>
      </x:c>
      <x:c r="C9" s="39" t="str">
        <x:v>PER0093</x:v>
      </x:c>
      <x:c r="D9" s="39" t="str">
        <x:v>Project A</x:v>
      </x:c>
      <x:c r="E9" s="39" t="str">
        <x:v>Uwe Horstmann</x:v>
      </x:c>
      <x:c r="F9" s="39" t="str">
        <x:v>Causa / atividade pública</x:v>
      </x:c>
      <x:c r="G9" s="39" t="str">
        <x:v>Disaster logistics e trabalho com organizações internacionais</x:v>
      </x:c>
      <x:c r="H9" s="39" t="str">
        <x:v>O perfil descreve trabalho de campo e consultoria a organizações da ONU.</x:v>
      </x:c>
      <x:c r="I9" s="39" t="str">
        <x:v>Em logística, resiliência ou impacto, ligar a solução a um caso operacional real e pedir opinião.</x:v>
      </x:c>
      <x:c r="J9" s="39" t="str">
        <x:v>Forte se relevante</x:v>
      </x:c>
      <x:c r="K9" s="39" t="str">
        <x:v>Baixa</x:v>
      </x:c>
      <x:c r="L9" s="39" t="str">
        <x:v>https://www.project-a.com/team/uwe-horstmann/</x:v>
      </x:c>
      <x:c r="M9" s="44" t="str">
        <x:v>2026-09-09</x:v>
      </x:c>
      <x:c r="N9" s="39" t="str">
        <x:v>Verificado</x:v>
      </x:c>
      <x:c r="O9" s="39" t="str"/>
    </x:row>
    <x:row r="10" ht="40" customHeight="1">
      <x:c r="A10" s="39" t="str">
        <x:v>SIG0009</x:v>
      </x:c>
      <x:c r="B10" s="39" t="str">
        <x:v>INV013</x:v>
      </x:c>
      <x:c r="C10" s="39" t="str">
        <x:v>PER0102</x:v>
      </x:c>
      <x:c r="D10" s="39" t="str">
        <x:v>Dawn Capital</x:v>
      </x:c>
      <x:c r="E10" s="39" t="str">
        <x:v>Josh Bell</x:v>
      </x:c>
      <x:c r="F10" s="39" t="str">
        <x:v>Interesse / causa pública</x:v>
      </x:c>
      <x:c r="G10" s="39" t="str">
        <x:v>Corrida, teatro e atividade filantrópica</x:v>
      </x:c>
      <x:c r="H10" s="39" t="str">
        <x:v>Perfil oficial menciona corrida e ligação a instituições de educação e teatro.</x:v>
      </x:c>
      <x:c r="I10" s="39" t="str">
        <x:v>A causa só deve surgir se o projeto tiver ligação direta e respeitosa; corrida/teatro não são bons cold-openers.</x:v>
      </x:c>
      <x:c r="J10" s="39" t="str">
        <x:v>Secundário</x:v>
      </x:c>
      <x:c r="K10" s="39" t="str">
        <x:v>Baixa</x:v>
      </x:c>
      <x:c r="L10" s="39" t="str">
        <x:v>https://www.dawncapital.com/team/josh-bell</x:v>
      </x:c>
      <x:c r="M10" s="44" t="str">
        <x:v>2026-09-09</x:v>
      </x:c>
      <x:c r="N10" s="39" t="str">
        <x:v>Verificado</x:v>
      </x:c>
      <x:c r="O10" s="39" t="str"/>
    </x:row>
    <x:row r="11" ht="40" customHeight="1">
      <x:c r="A11" s="39" t="str">
        <x:v>SIG0010</x:v>
      </x:c>
      <x:c r="B11" s="39" t="str">
        <x:v>INV013</x:v>
      </x:c>
      <x:c r="C11" s="39" t="str">
        <x:v>PER0103</x:v>
      </x:c>
      <x:c r="D11" s="39" t="str">
        <x:v>Dawn Capital</x:v>
      </x:c>
      <x:c r="E11" s="39" t="str">
        <x:v>Norman Fiore</x:v>
      </x:c>
      <x:c r="F11" s="39" t="str">
        <x:v>Causa / interesse público</x:v>
      </x:c>
      <x:c r="G11" s="39" t="str">
        <x:v>Promoção de equilíbrio de género; foosball</x:v>
      </x:c>
      <x:c r="H11" s="39" t="str">
        <x:v>Perfil oficial identifica função na Balance in Business e interesse em foosball.</x:v>
      </x:c>
      <x:c r="I11" s="39" t="str">
        <x:v>Em people/HR, pode perguntar como mede mudança de representação; foosball é apenas conversa informal posterior.</x:v>
      </x:c>
      <x:c r="J11" s="39" t="str">
        <x:v>Bom se relevante</x:v>
      </x:c>
      <x:c r="K11" s="39" t="str">
        <x:v>Baixa</x:v>
      </x:c>
      <x:c r="L11" s="39" t="str">
        <x:v>https://www.dawncapital.com/team/norman-fiore</x:v>
      </x:c>
      <x:c r="M11" s="44" t="str">
        <x:v>2026-09-09</x:v>
      </x:c>
      <x:c r="N11" s="39" t="str">
        <x:v>Verificado</x:v>
      </x:c>
      <x:c r="O11" s="39" t="str"/>
    </x:row>
    <x:row r="12" ht="40" customHeight="1">
      <x:c r="A12" s="39" t="str">
        <x:v>SIG0011</x:v>
      </x:c>
      <x:c r="B12" s="39" t="str">
        <x:v>INV013</x:v>
      </x:c>
      <x:c r="C12" s="39" t="str">
        <x:v>PER0106</x:v>
      </x:c>
      <x:c r="D12" s="39" t="str">
        <x:v>Dawn Capital</x:v>
      </x:c>
      <x:c r="E12" s="39" t="str">
        <x:v>Shamillah Bankiya</x:v>
      </x:c>
      <x:c r="F12" s="39" t="str">
        <x:v>Interesse público</x:v>
      </x:c>
      <x:c r="G12" s="39" t="str">
        <x:v>Livros de pensadores claros e viagens; visitou 51 países</x:v>
      </x:c>
      <x:c r="H12" s="39" t="str">
        <x:v>Auto-divulgado no perfil oficial.</x:v>
      </x:c>
      <x:c r="I12" s="39" t="str">
        <x:v>Pode enquadrar uma pergunta sobre mercados internacionais; não usar contagem de países como falsa familiaridade.</x:v>
      </x:c>
      <x:c r="J12" s="39" t="str">
        <x:v>Secundário</x:v>
      </x:c>
      <x:c r="K12" s="39" t="str">
        <x:v>Baixa</x:v>
      </x:c>
      <x:c r="L12" s="39" t="str">
        <x:v>https://www.dawncapital.com/team/shamillah-bankiya</x:v>
      </x:c>
      <x:c r="M12" s="44" t="str">
        <x:v>2026-09-09</x:v>
      </x:c>
      <x:c r="N12" s="39" t="str">
        <x:v>Verificado</x:v>
      </x:c>
      <x:c r="O12" s="39" t="str"/>
    </x:row>
    <x:row r="13" ht="40" customHeight="1">
      <x:c r="A13" s="39" t="str">
        <x:v>SIG0012</x:v>
      </x:c>
      <x:c r="B13" s="39" t="str">
        <x:v>INV013</x:v>
      </x:c>
      <x:c r="C13" s="39" t="str">
        <x:v>PER0107</x:v>
      </x:c>
      <x:c r="D13" s="39" t="str">
        <x:v>Dawn Capital</x:v>
      </x:c>
      <x:c r="E13" s="39" t="str">
        <x:v>Dan Chaplin</x:v>
      </x:c>
      <x:c r="F13" s="39" t="str">
        <x:v>Interesse público</x:v>
      </x:c>
      <x:c r="G13" s="39" t="str">
        <x:v>História, música, viagens e cricket</x:v>
      </x:c>
      <x:c r="H13" s="39" t="str">
        <x:v>Interesses auto-divulgados no perfil oficial.</x:v>
      </x:c>
      <x:c r="I13" s="39" t="str">
        <x:v>História pode ligar-se de forma natural à maneira como narrativas moldam categorias; restantes interesses só após relação criada.</x:v>
      </x:c>
      <x:c r="J13" s="39" t="str">
        <x:v>Bom</x:v>
      </x:c>
      <x:c r="K13" s="39" t="str">
        <x:v>Baixa</x:v>
      </x:c>
      <x:c r="L13" s="39" t="str">
        <x:v>https://www.dawncapital.com/team/dan-chaplin</x:v>
      </x:c>
      <x:c r="M13" s="44" t="str">
        <x:v>2026-09-09</x:v>
      </x:c>
      <x:c r="N13" s="39" t="str">
        <x:v>Verificado</x:v>
      </x:c>
      <x:c r="O13" s="39" t="str"/>
    </x:row>
    <x:row r="14" ht="40" customHeight="1">
      <x:c r="A14" s="39" t="str">
        <x:v>SIG0013</x:v>
      </x:c>
      <x:c r="B14" s="39" t="str">
        <x:v>INV014</x:v>
      </x:c>
      <x:c r="C14" s="39" t="str">
        <x:v>PER0115</x:v>
      </x:c>
      <x:c r="D14" s="39" t="str">
        <x:v>Octopus Ventures</x:v>
      </x:c>
      <x:c r="E14" s="39" t="str">
        <x:v>Santiago Fernandez</x:v>
      </x:c>
      <x:c r="F14" s="39" t="str">
        <x:v>Interesse público</x:v>
      </x:c>
      <x:c r="G14" s="39" t="str">
        <x:v>Arsenal, ténis, padel, ski e kitesurf</x:v>
      </x:c>
      <x:c r="H14" s="39" t="str">
        <x:v>Interesses auto-divulgados no perfil oficial.</x:v>
      </x:c>
      <x:c r="I14" s="39" t="str">
        <x:v>Usar apenas como afinidade secundária e autêntica, nunca como substituto da relevância do negócio.</x:v>
      </x:c>
      <x:c r="J14" s="39" t="str">
        <x:v>Secundário</x:v>
      </x:c>
      <x:c r="K14" s="39" t="str">
        <x:v>Baixa</x:v>
      </x:c>
      <x:c r="L14" s="39" t="str">
        <x:v>https://octopusventures.com/team/fintech/santiago-fernandez/</x:v>
      </x:c>
      <x:c r="M14" s="44" t="str">
        <x:v>2026-09-09</x:v>
      </x:c>
      <x:c r="N14" s="39" t="str">
        <x:v>Verificado</x:v>
      </x:c>
      <x:c r="O14" s="39" t="str"/>
    </x:row>
    <x:row r="15" ht="40" customHeight="1">
      <x:c r="A15" s="39" t="str">
        <x:v>SIG0014</x:v>
      </x:c>
      <x:c r="B15" s="39" t="str">
        <x:v>INV027</x:v>
      </x:c>
      <x:c r="C15" s="39" t="str">
        <x:v>PER0210</x:v>
      </x:c>
      <x:c r="D15" s="39" t="str">
        <x:v>Partech</x:v>
      </x:c>
      <x:c r="E15" s="39" t="str">
        <x:v>Boris Golden</x:v>
      </x:c>
      <x:c r="F15" s="39" t="str">
        <x:v>Interesse / percurso</x:v>
      </x:c>
      <x:c r="G15" s="39" t="str">
        <x:v>Antigo DJ; investigador e founder de HR SaaS</x:v>
      </x:c>
      <x:c r="H15" s="39" t="str">
        <x:v>Factos auto-divulgados no perfil oficial.</x:v>
      </x:c>
      <x:c r="I15" s="39" t="str">
        <x:v>A experiência de founder e investigação é um hook forte; DJ apenas em contexto informal ou ligado ao produto.</x:v>
      </x:c>
      <x:c r="J15" s="39" t="str">
        <x:v>Bom</x:v>
      </x:c>
      <x:c r="K15" s="39" t="str">
        <x:v>Baixa</x:v>
      </x:c>
      <x:c r="L15" s="39" t="str">
        <x:v>https://partechpartners.com/team/boris-golden</x:v>
      </x:c>
      <x:c r="M15" s="44" t="str">
        <x:v>2026-09-09</x:v>
      </x:c>
      <x:c r="N15" s="39" t="str">
        <x:v>Verificado</x:v>
      </x:c>
      <x:c r="O15" s="39" t="str"/>
    </x:row>
    <x:row r="16" ht="40" customHeight="1">
      <x:c r="A16" s="39" t="str">
        <x:v>SIG0015</x:v>
      </x:c>
      <x:c r="B16" s="39" t="str">
        <x:v>INV027</x:v>
      </x:c>
      <x:c r="C16" s="39" t="str">
        <x:v>PER0209</x:v>
      </x:c>
      <x:c r="D16" s="39" t="str">
        <x:v>Partech</x:v>
      </x:c>
      <x:c r="E16" s="39" t="str">
        <x:v>Romain Lavault</x:v>
      </x:c>
      <x:c r="F16" s="39" t="str">
        <x:v>Interesse público</x:v>
      </x:c>
      <x:c r="G16" s="39" t="str">
        <x:v>Música eletrónica, oceano, boxe e ski</x:v>
      </x:c>
      <x:c r="H16" s="39" t="str">
        <x:v>Interesses auto-divulgados no perfil oficial.</x:v>
      </x:c>
      <x:c r="I16" s="39" t="str">
        <x:v>Música/tecnologia pode ser útil em creator tools; restantes sinais são melhores após o primeiro contacto.</x:v>
      </x:c>
      <x:c r="J16" s="39" t="str">
        <x:v>Secundário</x:v>
      </x:c>
      <x:c r="K16" s="39" t="str">
        <x:v>Baixa</x:v>
      </x:c>
      <x:c r="L16" s="39" t="str">
        <x:v>https://partechpartners.com/team/romain-lavault</x:v>
      </x:c>
      <x:c r="M16" s="44" t="str">
        <x:v>2026-09-09</x:v>
      </x:c>
      <x:c r="N16" s="39" t="str">
        <x:v>Verificado</x:v>
      </x:c>
      <x:c r="O16" s="39" t="str"/>
    </x:row>
    <x:row r="17" ht="80" customHeight="1">
      <x:c r="A17" s="39" t="str">
        <x:v>SIG0016</x:v>
      </x:c>
      <x:c r="B17" s="39" t="str">
        <x:v>INV032</x:v>
      </x:c>
      <x:c r="C17" s="39" t="str">
        <x:v>PER0230</x:v>
      </x:c>
      <x:c r="D17" s="39" t="str">
        <x:v>Smedvig Ventures</x:v>
      </x:c>
      <x:c r="E17" s="39" t="str">
        <x:v>Joe Knowles</x:v>
      </x:c>
      <x:c r="F17" s="39" t="str">
        <x:v>Causa pública</x:v>
      </x:c>
      <x:c r="G17" s="39" t="str">
        <x:v>Advisor da Sustainability First</x:v>
      </x:c>
      <x:c r="H17" s="39" t="str">
        <x:v>Atividade declarada no perfil profissional.</x:v>
      </x:c>
      <x:c r="I17" s="39" t="str">
        <x:v>Se o projeto tiver relevância ambiental, perguntar que problema de implementação observa nessa atividade.</x:v>
      </x:c>
      <x:c r="J17" s="39" t="str">
        <x:v>Bom se relevante</x:v>
      </x:c>
      <x:c r="K17" s="39" t="str">
        <x:v>Baixa</x:v>
      </x:c>
      <x:c r="L17" s="39" t="str">
        <x:v>https://smedvig.vc/people/joe-knowles/</x:v>
      </x:c>
      <x:c r="M17" s="44" t="str">
        <x:v>2026-09-09</x:v>
      </x:c>
      <x:c r="N17" s="39" t="str">
        <x:v>Verificado</x:v>
      </x:c>
      <x:c r="O17" s="39" t="str">
        <x:v>Lote 2. Auto-divulgação pública; não inferir outros atributos pessoais.</x:v>
      </x:c>
    </x:row>
    <x:row r="18" ht="80" customHeight="1">
      <x:c r="A18" s="39" t="str">
        <x:v>SIG0017</x:v>
      </x:c>
      <x:c r="B18" s="39" t="str">
        <x:v>INV032</x:v>
      </x:c>
      <x:c r="C18" s="39" t="str">
        <x:v>PER0229</x:v>
      </x:c>
      <x:c r="D18" s="39" t="str">
        <x:v>Smedvig Ventures</x:v>
      </x:c>
      <x:c r="E18" s="39" t="str">
        <x:v>Jon Lerner</x:v>
      </x:c>
      <x:c r="F18" s="39" t="str">
        <x:v>Interesse público</x:v>
      </x:c>
      <x:c r="G18" s="39" t="str">
        <x:v>Ciclismo e montanha</x:v>
      </x:c>
      <x:c r="H18" s="39" t="str">
        <x:v>Interesses declarados na entrevista do perfil.</x:v>
      </x:c>
      <x:c r="I18" s="39" t="str">
        <x:v>Afinidade para uma conversa já estabelecida ou produto outdoor; a tese comercial deve continuar a ser o ponto principal.</x:v>
      </x:c>
      <x:c r="J18" s="39" t="str">
        <x:v>Secundário</x:v>
      </x:c>
      <x:c r="K18" s="39" t="str">
        <x:v>Baixa</x:v>
      </x:c>
      <x:c r="L18" s="39" t="str">
        <x:v>https://smedvig.vc/people/jon-lerner/</x:v>
      </x:c>
      <x:c r="M18" s="44" t="str">
        <x:v>2026-09-09</x:v>
      </x:c>
      <x:c r="N18" s="39" t="str">
        <x:v>Verificado</x:v>
      </x:c>
      <x:c r="O18" s="39" t="str">
        <x:v>Lote 2. Auto-divulgação pública; não inferir outros atributos pessoais.</x:v>
      </x:c>
    </x:row>
    <x:row r="19" ht="80" customHeight="1">
      <x:c r="A19" s="39" t="str">
        <x:v>SIG0018</x:v>
      </x:c>
      <x:c r="B19" s="39" t="str">
        <x:v>INV032</x:v>
      </x:c>
      <x:c r="C19" s="39" t="str">
        <x:v>PER0231</x:v>
      </x:c>
      <x:c r="D19" s="39" t="str">
        <x:v>Smedvig Ventures</x:v>
      </x:c>
      <x:c r="E19" s="39" t="str">
        <x:v>Rob Toms</x:v>
      </x:c>
      <x:c r="F19" s="39" t="str">
        <x:v>Interesse público</x:v>
      </x:c>
      <x:c r="G19" s="39" t="str">
        <x:v>Triatlo e preparação de cocktails</x:v>
      </x:c>
      <x:c r="H19" s="39" t="str">
        <x:v>Interesses declarados no perfil.</x:v>
      </x:c>
      <x:c r="I19" s="39" t="str">
        <x:v>Usar como tema informal quando houver afinidade real; não inferir hábitos ou personalidade.</x:v>
      </x:c>
      <x:c r="J19" s="39" t="str">
        <x:v>Secundário</x:v>
      </x:c>
      <x:c r="K19" s="39" t="str">
        <x:v>Baixa</x:v>
      </x:c>
      <x:c r="L19" s="39" t="str">
        <x:v>https://smedvig.vc/people/rob-toms/</x:v>
      </x:c>
      <x:c r="M19" s="44" t="str">
        <x:v>2026-09-09</x:v>
      </x:c>
      <x:c r="N19" s="39" t="str">
        <x:v>Verificado</x:v>
      </x:c>
      <x:c r="O19" s="39" t="str">
        <x:v>Lote 2. Auto-divulgação pública; não inferir outros atributos pessoais.</x:v>
      </x:c>
    </x:row>
    <x:row r="20" ht="80" customHeight="1">
      <x:c r="A20" s="39" t="str">
        <x:v>SIG0019</x:v>
      </x:c>
      <x:c r="B20" s="39" t="str">
        <x:v>INV032</x:v>
      </x:c>
      <x:c r="C20" s="39" t="str">
        <x:v>PER0232</x:v>
      </x:c>
      <x:c r="D20" s="39" t="str">
        <x:v>Smedvig Ventures</x:v>
      </x:c>
      <x:c r="E20" s="39" t="str">
        <x:v>Peter Duffy</x:v>
      </x:c>
      <x:c r="F20" s="39" t="str">
        <x:v>Recomendação cultural</x:v>
      </x:c>
      <x:c r="G20" s="39" t="str">
        <x:v>Podcast The Rest is History</x:v>
      </x:c>
      <x:c r="H20" s="39" t="str">
        <x:v>Recomendação pessoal no perfil.</x:v>
      </x:c>
      <x:c r="I20" s="39" t="str">
        <x:v>Se conheces um episódio relevante, relacionar a pergunta com uma aprendizagem concreta.</x:v>
      </x:c>
      <x:c r="J20" s="39" t="str">
        <x:v>Secundário</x:v>
      </x:c>
      <x:c r="K20" s="39" t="str">
        <x:v>Baixa</x:v>
      </x:c>
      <x:c r="L20" s="39" t="str">
        <x:v>https://smedvig.vc/people/peter-duffy/</x:v>
      </x:c>
      <x:c r="M20" s="44" t="str">
        <x:v>2026-09-09</x:v>
      </x:c>
      <x:c r="N20" s="39" t="str">
        <x:v>Verificado</x:v>
      </x:c>
      <x:c r="O20" s="39" t="str">
        <x:v>Lote 2. Auto-divulgação pública; não inferir outros atributos pessoais.</x:v>
      </x:c>
    </x:row>
    <x:row r="21" ht="80" customHeight="1">
      <x:c r="A21" s="39" t="str">
        <x:v>SIG0020</x:v>
      </x:c>
      <x:c r="B21" s="39" t="str">
        <x:v>INV032</x:v>
      </x:c>
      <x:c r="C21" s="39" t="str">
        <x:v>PER0233</x:v>
      </x:c>
      <x:c r="D21" s="39" t="str">
        <x:v>Smedvig Ventures</x:v>
      </x:c>
      <x:c r="E21" s="39" t="str">
        <x:v>Freddie Kalfayan</x:v>
      </x:c>
      <x:c r="F21" s="39" t="str">
        <x:v>Recomendação profissional</x:v>
      </x:c>
      <x:c r="G21" s="39" t="str">
        <x:v>Invest Like the Best, 20VC e SaaStr</x:v>
      </x:c>
      <x:c r="H21" s="39" t="str">
        <x:v>Recomendações públicas de conteúdo.</x:v>
      </x:c>
      <x:c r="I21" s="39" t="str">
        <x:v>Usar uma ideia específica que tenhas lido ou ouvido; não alegar concordância pessoal dele com todo o conteúdo.</x:v>
      </x:c>
      <x:c r="J21" s="39" t="str">
        <x:v>Bom se relevante</x:v>
      </x:c>
      <x:c r="K21" s="39" t="str">
        <x:v>Baixa</x:v>
      </x:c>
      <x:c r="L21" s="39" t="str">
        <x:v>https://smedvig.vc/people/freddie-kalfayan/</x:v>
      </x:c>
      <x:c r="M21" s="44" t="str">
        <x:v>2026-09-09</x:v>
      </x:c>
      <x:c r="N21" s="39" t="str">
        <x:v>Verificado</x:v>
      </x:c>
      <x:c r="O21" s="39" t="str">
        <x:v>Lote 2. Auto-divulgação pública; não inferir outros atributos pessoais.</x:v>
      </x:c>
    </x:row>
    <x:row r="22" ht="80" customHeight="1">
      <x:c r="A22" s="39" t="str">
        <x:v>SIG0021</x:v>
      </x:c>
      <x:c r="B22" s="39" t="str">
        <x:v>INV033</x:v>
      </x:c>
      <x:c r="C22" s="39" t="str">
        <x:v>PER0234</x:v>
      </x:c>
      <x:c r="D22" s="39" t="str">
        <x:v>Episode 1</x:v>
      </x:c>
      <x:c r="E22" s="39" t="str">
        <x:v>Hector Mason</x:v>
      </x:c>
      <x:c r="F22" s="39" t="str">
        <x:v>Interesse público</x:v>
      </x:c>
      <x:c r="G22" s="39" t="str">
        <x:v>Carpintaria, ténis e piano</x:v>
      </x:c>
      <x:c r="H22" s="39" t="str">
        <x:v>Interesses listados na página da equipa.</x:v>
      </x:c>
      <x:c r="I22" s="39" t="str">
        <x:v>Tema secundário quando se liga ao produto ou a experiência realmente partilhada.</x:v>
      </x:c>
      <x:c r="J22" s="39" t="str">
        <x:v>Secundário</x:v>
      </x:c>
      <x:c r="K22" s="39" t="str">
        <x:v>Baixa</x:v>
      </x:c>
      <x:c r="L22" s="39" t="str">
        <x:v>https://www.episode1.com/team</x:v>
      </x:c>
      <x:c r="M22" s="44" t="str">
        <x:v>2026-09-09</x:v>
      </x:c>
      <x:c r="N22" s="39" t="str">
        <x:v>Verificado</x:v>
      </x:c>
      <x:c r="O22" s="39" t="str">
        <x:v>Lote 2. Auto-divulgação pública; não inferir outros atributos pessoais.</x:v>
      </x:c>
    </x:row>
    <x:row r="23" ht="80" customHeight="1">
      <x:c r="A23" s="39" t="str">
        <x:v>SIG0022</x:v>
      </x:c>
      <x:c r="B23" s="39" t="str">
        <x:v>INV034</x:v>
      </x:c>
      <x:c r="C23" s="39" t="str">
        <x:v>PER0241</x:v>
      </x:c>
      <x:c r="D23" s="39" t="str">
        <x:v>Concept Ventures</x:v>
      </x:c>
      <x:c r="E23" s="39" t="str">
        <x:v>Reece Chowdhry</x:v>
      </x:c>
      <x:c r="F23" s="39" t="str">
        <x:v>Causa pública</x:v>
      </x:c>
      <x:c r="G23" s="39" t="str">
        <x:v>Concept Venture Pledge</x:v>
      </x:c>
      <x:c r="H23" s="39" t="str">
        <x:v>O perfil descreve afetação de 1% do carry a causas escolhidas por founders.</x:v>
      </x:c>
      <x:c r="I23" s="39" t="str">
        <x:v>Perguntar como os founders escolhem as causas ou como participam no programa.</x:v>
      </x:c>
      <x:c r="J23" s="39" t="str">
        <x:v>Bom se relevante</x:v>
      </x:c>
      <x:c r="K23" s="39" t="str">
        <x:v>Baixa</x:v>
      </x:c>
      <x:c r="L23" s="39" t="str">
        <x:v>https://concept.vc/team-members/reece-chowdhry</x:v>
      </x:c>
      <x:c r="M23" s="44" t="str">
        <x:v>2026-09-09</x:v>
      </x:c>
      <x:c r="N23" s="39" t="str">
        <x:v>Verificado</x:v>
      </x:c>
      <x:c r="O23" s="39" t="str">
        <x:v>Lote 2. Auto-divulgação pública; não inferir outros atributos pessoais.</x:v>
      </x:c>
    </x:row>
    <x:row r="24" ht="80" customHeight="1">
      <x:c r="A24" s="39" t="str">
        <x:v>SIG0023</x:v>
      </x:c>
      <x:c r="B24" s="39" t="str">
        <x:v>INV034</x:v>
      </x:c>
      <x:c r="C24" s="39" t="str">
        <x:v>PER0241</x:v>
      </x:c>
      <x:c r="D24" s="39" t="str">
        <x:v>Concept Ventures</x:v>
      </x:c>
      <x:c r="E24" s="39" t="str">
        <x:v>Reece Chowdhry</x:v>
      </x:c>
      <x:c r="F24" s="39" t="str">
        <x:v>Interesse público</x:v>
      </x:c>
      <x:c r="G24" s="39" t="str">
        <x:v>Livros de não-ficção; Harry Potter; parques temáticos</x:v>
      </x:c>
      <x:c r="H24" s="39" t="str">
        <x:v>Auto-divulgado no perfil.</x:v>
      </x:c>
      <x:c r="I24" s="39" t="str">
        <x:v>Pode ser afinidade para edtech, leitura ou experiências; não substitui adequação ao investimento.</x:v>
      </x:c>
      <x:c r="J24" s="39" t="str">
        <x:v>Secundário</x:v>
      </x:c>
      <x:c r="K24" s="39" t="str">
        <x:v>Baixa</x:v>
      </x:c>
      <x:c r="L24" s="39" t="str">
        <x:v>https://concept.vc/team-members/reece-chowdhry</x:v>
      </x:c>
      <x:c r="M24" s="44" t="str">
        <x:v>2026-09-09</x:v>
      </x:c>
      <x:c r="N24" s="39" t="str">
        <x:v>Verificado</x:v>
      </x:c>
      <x:c r="O24" s="39" t="str">
        <x:v>Lote 2. Auto-divulgação pública; não inferir outros atributos pessoais.</x:v>
      </x:c>
    </x:row>
    <x:row r="25" ht="80" customHeight="1">
      <x:c r="A25" s="39" t="str">
        <x:v>SIG0024</x:v>
      </x:c>
      <x:c r="B25" s="39" t="str">
        <x:v>INV034</x:v>
      </x:c>
      <x:c r="C25" s="39" t="str">
        <x:v>PER0242</x:v>
      </x:c>
      <x:c r="D25" s="39" t="str">
        <x:v>Concept Ventures</x:v>
      </x:c>
      <x:c r="E25" s="39" t="str">
        <x:v>Oliver Kicks</x:v>
      </x:c>
      <x:c r="F25" s="39" t="str">
        <x:v>Interesse público</x:v>
      </x:c>
      <x:c r="G25" s="39" t="str">
        <x:v>Fulham; Apex Legends; Old School RuneScape</x:v>
      </x:c>
      <x:c r="H25" s="39" t="str">
        <x:v>Interesses declarados no perfil.</x:v>
      </x:c>
      <x:c r="I25" s="39" t="str">
        <x:v>Em gaming ou comunidades, explorar uma observação concreta sobre comportamento dos utilizadores.</x:v>
      </x:c>
      <x:c r="J25" s="39" t="str">
        <x:v>Bom se relevante</x:v>
      </x:c>
      <x:c r="K25" s="39" t="str">
        <x:v>Baixa</x:v>
      </x:c>
      <x:c r="L25" s="39" t="str">
        <x:v>https://concept.vc/team-members/oliver-kicks</x:v>
      </x:c>
      <x:c r="M25" s="44" t="str">
        <x:v>2026-09-09</x:v>
      </x:c>
      <x:c r="N25" s="39" t="str">
        <x:v>Verificado</x:v>
      </x:c>
      <x:c r="O25" s="39" t="str">
        <x:v>Lote 2. Auto-divulgação pública; não inferir outros atributos pessoais.</x:v>
      </x:c>
    </x:row>
    <x:row r="26" ht="80" customHeight="1">
      <x:c r="A26" s="39" t="str">
        <x:v>SIG0025</x:v>
      </x:c>
      <x:c r="B26" s="39" t="str">
        <x:v>INV034</x:v>
      </x:c>
      <x:c r="C26" s="39" t="str">
        <x:v>PER0243</x:v>
      </x:c>
      <x:c r="D26" s="39" t="str">
        <x:v>Concept Ventures</x:v>
      </x:c>
      <x:c r="E26" s="39" t="str">
        <x:v>Jeff Chowdhry</x:v>
      </x:c>
      <x:c r="F26" s="39" t="str">
        <x:v>Interesse público</x:v>
      </x:c>
      <x:c r="G26" s="39" t="str">
        <x:v>Golfe e futebol</x:v>
      </x:c>
      <x:c r="H26" s="39" t="str">
        <x:v>Interesses públicos no perfil.</x:v>
      </x:c>
      <x:c r="I26" s="39" t="str">
        <x:v>Conversa informal contextual; não extrair preferências de investimento destes hobbies.</x:v>
      </x:c>
      <x:c r="J26" s="39" t="str">
        <x:v>Secundário</x:v>
      </x:c>
      <x:c r="K26" s="39" t="str">
        <x:v>Baixa</x:v>
      </x:c>
      <x:c r="L26" s="39" t="str">
        <x:v>https://concept.vc/team-members/jeff-chowdhry</x:v>
      </x:c>
      <x:c r="M26" s="44" t="str">
        <x:v>2026-09-09</x:v>
      </x:c>
      <x:c r="N26" s="39" t="str">
        <x:v>Verificado</x:v>
      </x:c>
      <x:c r="O26" s="39" t="str">
        <x:v>Lote 2. Auto-divulgação pública; não inferir outros atributos pessoais.</x:v>
      </x:c>
    </x:row>
    <x:row r="27" ht="80" customHeight="1">
      <x:c r="A27" s="39" t="str">
        <x:v>SIG0026</x:v>
      </x:c>
      <x:c r="B27" s="39" t="str">
        <x:v>INV034</x:v>
      </x:c>
      <x:c r="C27" s="39" t="str">
        <x:v>PER0244</x:v>
      </x:c>
      <x:c r="D27" s="39" t="str">
        <x:v>Concept Ventures</x:v>
      </x:c>
      <x:c r="E27" s="39" t="str">
        <x:v>Hugo Hazon</x:v>
      </x:c>
      <x:c r="F27" s="39" t="str">
        <x:v>Percurso público</x:v>
      </x:c>
      <x:c r="G27" s="39" t="str">
        <x:v>Antigo jogador profissional de voleibol</x:v>
      </x:c>
      <x:c r="H27" s="39" t="str">
        <x:v>O perfil identifica passagem pelo Paris Volley.</x:v>
      </x:c>
      <x:c r="I27" s="39" t="str">
        <x:v>Se relevante, perguntar que aprendizagem da competição trouxe para construir equipas.</x:v>
      </x:c>
      <x:c r="J27" s="39" t="str">
        <x:v>Bom se relevante</x:v>
      </x:c>
      <x:c r="K27" s="39" t="str">
        <x:v>Baixa</x:v>
      </x:c>
      <x:c r="L27" s="39" t="str">
        <x:v>https://concept.vc/team-members/hugo-hazon</x:v>
      </x:c>
      <x:c r="M27" s="44" t="str">
        <x:v>2026-09-09</x:v>
      </x:c>
      <x:c r="N27" s="39" t="str">
        <x:v>Verificado</x:v>
      </x:c>
      <x:c r="O27" s="39" t="str">
        <x:v>Lote 2. Auto-divulgação pública; não inferir outros atributos pessoais.</x:v>
      </x:c>
    </x:row>
    <x:row r="28" ht="80" customHeight="1">
      <x:c r="A28" s="39" t="str">
        <x:v>SIG0027</x:v>
      </x:c>
      <x:c r="B28" s="39" t="str">
        <x:v>INV034</x:v>
      </x:c>
      <x:c r="C28" s="39" t="str">
        <x:v>PER0245</x:v>
      </x:c>
      <x:c r="D28" s="39" t="str">
        <x:v>Concept Ventures</x:v>
      </x:c>
      <x:c r="E28" s="39" t="str">
        <x:v>Anrea Munsamy</x:v>
      </x:c>
      <x:c r="F28" s="39" t="str">
        <x:v>Causa pública</x:v>
      </x:c>
      <x:c r="G28" s="39" t="str">
        <x:v>Resgate animal; sustentabilidade; projetos comunitários</x:v>
      </x:c>
      <x:c r="H28" s="39" t="str">
        <x:v>Atividade descrita no perfil profissional.</x:v>
      </x:c>
      <x:c r="I28" s="39" t="str">
        <x:v>Pode ser contexto para propostas de comunidade ou causas do Venture Pledge, sem pressupor autoridade de investimento.</x:v>
      </x:c>
      <x:c r="J28" s="39" t="str">
        <x:v>Bom se relevante</x:v>
      </x:c>
      <x:c r="K28" s="39" t="str">
        <x:v>Baixa</x:v>
      </x:c>
      <x:c r="L28" s="39" t="str">
        <x:v>https://concept.vc/team-members/anrea</x:v>
      </x:c>
      <x:c r="M28" s="44" t="str">
        <x:v>2026-09-09</x:v>
      </x:c>
      <x:c r="N28" s="39" t="str">
        <x:v>Verificado</x:v>
      </x:c>
      <x:c r="O28" s="39" t="str">
        <x:v>Lote 2. Auto-divulgação pública; não inferir outros atributos pessoais.</x:v>
      </x:c>
    </x:row>
    <x:row r="29" ht="80" customHeight="1">
      <x:c r="A29" s="39" t="str">
        <x:v>SIG0028</x:v>
      </x:c>
      <x:c r="B29" s="39" t="str">
        <x:v>INV034</x:v>
      </x:c>
      <x:c r="C29" s="39" t="str">
        <x:v>PER0246</x:v>
      </x:c>
      <x:c r="D29" s="39" t="str">
        <x:v>Concept Ventures</x:v>
      </x:c>
      <x:c r="E29" s="39" t="str">
        <x:v>Kudei Sawyer Moses</x:v>
      </x:c>
      <x:c r="F29" s="39" t="str">
        <x:v>Atividade pública</x:v>
      </x:c>
      <x:c r="G29" s="39" t="str">
        <x:v>DJ; experiência na indústria musical</x:v>
      </x:c>
      <x:c r="H29" s="39" t="str">
        <x:v>Percurso divulgado no perfil profissional.</x:v>
      </x:c>
      <x:c r="I29" s="39" t="str">
        <x:v>Em música ou creator tools, perguntar sobre um problema profissional específico; também pode apoiar proposta de evento.</x:v>
      </x:c>
      <x:c r="J29" s="39" t="str">
        <x:v>Bom se relevante</x:v>
      </x:c>
      <x:c r="K29" s="39" t="str">
        <x:v>Baixa</x:v>
      </x:c>
      <x:c r="L29" s="39" t="str">
        <x:v>https://concept.vc/team-members/kudei-sawyer-moses</x:v>
      </x:c>
      <x:c r="M29" s="44" t="str">
        <x:v>2026-09-09</x:v>
      </x:c>
      <x:c r="N29" s="39" t="str">
        <x:v>Verificado</x:v>
      </x:c>
      <x:c r="O29" s="39" t="str">
        <x:v>Lote 2. Auto-divulgação pública; não inferir outros atributos pessoais.</x:v>
      </x:c>
    </x:row>
    <x:row r="30" ht="80" customHeight="1">
      <x:c r="A30" s="39" t="str">
        <x:v>SIG0029</x:v>
      </x:c>
      <x:c r="B30" s="39" t="str">
        <x:v>INV029</x:v>
      </x:c>
      <x:c r="C30" s="39" t="str">
        <x:v>PER0223</x:v>
      </x:c>
      <x:c r="D30" s="39" t="str">
        <x:v>H14</x:v>
      </x:c>
      <x:c r="E30" s="39" t="str">
        <x:v>Luigi Lonardi</x:v>
      </x:c>
      <x:c r="F30" s="39" t="str">
        <x:v>Causa pública</x:v>
      </x:c>
      <x:c r="G30" s="39" t="str">
        <x:v>Voluntariado na Dravet Onlus Italia</x:v>
      </x:c>
      <x:c r="H30" s="39" t="str">
        <x:v>Experiência de voluntariado publicada no LinkedIn.</x:v>
      </x:c>
      <x:c r="I30" s="39" t="str">
        <x:v>Abordar a causa apenas se houver pertinência concreta; não inferir doença pessoal ou familiar nem propensão para investir.</x:v>
      </x:c>
      <x:c r="J30" s="39" t="str">
        <x:v>Bom se relevante</x:v>
      </x:c>
      <x:c r="K30" s="39" t="str">
        <x:v>Baixa</x:v>
      </x:c>
      <x:c r="L30" s="39" t="str">
        <x:v>https://it.linkedin.com/in/luigi-lonardi-3609a9118</x:v>
      </x:c>
      <x:c r="M30" s="44" t="str">
        <x:v>2026-09-09</x:v>
      </x:c>
      <x:c r="N30" s="39" t="str">
        <x:v>Verificado</x:v>
      </x:c>
      <x:c r="O30" s="39" t="str">
        <x:v>Lote 2. Auto-divulgação pública; não inferir outros atributos pessoais.</x:v>
      </x:c>
    </x:row>
  </x:sheetData>
  <x:conditionalFormatting sqref="K2:K30">
    <x:cfRule type="containsText" dxfId="6" priority="1" operator="containsText" text="Baixa"/>
  </x:conditionalFormatting>
  <x:pageMargins left="0.7" right="0.7" top="0.75" bottom="0.75" header="0.3" footer="0.3"/>
  <x:tableParts count="1">
    <x:tablePart xmlns:r="http://schemas.openxmlformats.org/officeDocument/2006/relationships" r:id="R4f3231ac442f4d8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58" hidden="0" customWidth="1"/>
    <x:col min="3" max="3" width="28" hidden="0" customWidth="1"/>
    <x:col min="4" max="4" width="22" hidden="0" customWidth="1"/>
    <x:col min="5" max="5" width="18" hidden="0" customWidth="1"/>
    <x:col min="6" max="6" width="15" hidden="0" customWidth="1"/>
    <x:col min="7" max="7" width="16" hidden="0" customWidth="1"/>
    <x:col min="8" max="8" width="12" hidden="0" customWidth="1"/>
    <x:col min="9" max="9" width="46" hidden="0" customWidth="1"/>
  </x:cols>
  <x:sheetData>
    <x:row r="1" ht="34" customHeight="1">
      <x:c r="A1" s="42" t="str">
        <x:v>ID_Fonte</x:v>
      </x:c>
      <x:c r="B1" s="42" t="str">
        <x:v>URL</x:v>
      </x:c>
      <x:c r="C1" s="42" t="str">
        <x:v>Publisher</x:v>
      </x:c>
      <x:c r="D1" s="42" t="str">
        <x:v>Tipo_Fonte</x:v>
      </x:c>
      <x:c r="E1" s="42" t="str">
        <x:v>Prova_Para</x:v>
      </x:c>
      <x:c r="F1" s="42" t="str">
        <x:v>ID_Registo</x:v>
      </x:c>
      <x:c r="G1" s="42" t="str">
        <x:v>Data_Verificação</x:v>
      </x:c>
      <x:c r="H1" s="42" t="str">
        <x:v>Estado</x:v>
      </x:c>
      <x:c r="I1" s="42" t="str">
        <x:v>Notas</x:v>
      </x:c>
    </x:row>
    <x:row r="2" ht="40" customHeight="1">
      <x:c r="A2" s="39" t="str">
        <x:v>SRC00001</x:v>
      </x:c>
      <x:c r="B2" s="39" t="str">
        <x:v>https://www.pointnine.com/</x:v>
      </x:c>
      <x:c r="C2" s="39" t="str">
        <x:v>www.pointnine.com</x:v>
      </x:c>
      <x:c r="D2" s="39" t="str">
        <x:v>Tese / critérios</x:v>
      </x:c>
      <x:c r="E2" s="39" t="str">
        <x:v>Investidor</x:v>
      </x:c>
      <x:c r="F2" s="39" t="str">
        <x:v>INV001</x:v>
      </x:c>
      <x:c r="G2" s="44" t="str">
        <x:v>2026-09-09</x:v>
      </x:c>
      <x:c r="H2" s="39" t="str">
        <x:v>Ativa</x:v>
      </x:c>
      <x:c r="I2" s="39" t="str">
        <x:v>Fonte pública; verificar novamente antes de outreach.</x:v>
      </x:c>
    </x:row>
    <x:row r="3" ht="40" customHeight="1">
      <x:c r="A3" s="39" t="str">
        <x:v>SRC00002</x:v>
      </x:c>
      <x:c r="B3" s="39" t="str">
        <x:v>https://www.pointnine.com/team</x:v>
      </x:c>
      <x:c r="C3" s="39" t="str">
        <x:v>www.pointnine.com</x:v>
      </x:c>
      <x:c r="D3" s="39" t="str">
        <x:v>Equipa</x:v>
      </x:c>
      <x:c r="E3" s="39" t="str">
        <x:v>Investidor</x:v>
      </x:c>
      <x:c r="F3" s="39" t="str">
        <x:v>INV001</x:v>
      </x:c>
      <x:c r="G3" s="44" t="str">
        <x:v>2026-09-09</x:v>
      </x:c>
      <x:c r="H3" s="39" t="str">
        <x:v>Ativa</x:v>
      </x:c>
      <x:c r="I3" s="39" t="str">
        <x:v>Fonte pública; verificar novamente antes de outreach.</x:v>
      </x:c>
    </x:row>
    <x:row r="4" ht="40" customHeight="1">
      <x:c r="A4" s="39" t="str">
        <x:v>SRC00003</x:v>
      </x:c>
      <x:c r="B4" s="39" t="str">
        <x:v>https://seedcamp.com/faqs/</x:v>
      </x:c>
      <x:c r="C4" s="39" t="str">
        <x:v>seedcamp.com</x:v>
      </x:c>
      <x:c r="D4" s="39" t="str">
        <x:v>Tese / critérios</x:v>
      </x:c>
      <x:c r="E4" s="39" t="str">
        <x:v>Investidor</x:v>
      </x:c>
      <x:c r="F4" s="39" t="str">
        <x:v>INV002</x:v>
      </x:c>
      <x:c r="G4" s="44" t="str">
        <x:v>2026-09-09</x:v>
      </x:c>
      <x:c r="H4" s="39" t="str">
        <x:v>Ativa</x:v>
      </x:c>
      <x:c r="I4" s="39" t="str">
        <x:v>Fonte pública; verificar novamente antes de outreach.</x:v>
      </x:c>
    </x:row>
    <x:row r="5" ht="40" customHeight="1">
      <x:c r="A5" s="39" t="str">
        <x:v>SRC00004</x:v>
      </x:c>
      <x:c r="B5" s="39" t="str">
        <x:v>https://seedcamp.com/our-team/</x:v>
      </x:c>
      <x:c r="C5" s="39" t="str">
        <x:v>seedcamp.com</x:v>
      </x:c>
      <x:c r="D5" s="39" t="str">
        <x:v>Equipa</x:v>
      </x:c>
      <x:c r="E5" s="39" t="str">
        <x:v>Investidor</x:v>
      </x:c>
      <x:c r="F5" s="39" t="str">
        <x:v>INV002</x:v>
      </x:c>
      <x:c r="G5" s="44" t="str">
        <x:v>2026-09-09</x:v>
      </x:c>
      <x:c r="H5" s="39" t="str">
        <x:v>Ativa</x:v>
      </x:c>
      <x:c r="I5" s="39" t="str">
        <x:v>Fonte pública; verificar novamente antes de outreach.</x:v>
      </x:c>
    </x:row>
    <x:row r="6" ht="40" customHeight="1">
      <x:c r="A6" s="39" t="str">
        <x:v>SRC00005</x:v>
      </x:c>
      <x:c r="B6" s="39" t="str">
        <x:v>https://www.jme.vc/</x:v>
      </x:c>
      <x:c r="C6" s="39" t="str">
        <x:v>www.jme.vc</x:v>
      </x:c>
      <x:c r="D6" s="39" t="str">
        <x:v>Tese / critérios</x:v>
      </x:c>
      <x:c r="E6" s="39" t="str">
        <x:v>Investidor</x:v>
      </x:c>
      <x:c r="F6" s="39" t="str">
        <x:v>INV003</x:v>
      </x:c>
      <x:c r="G6" s="44" t="str">
        <x:v>2026-09-09</x:v>
      </x:c>
      <x:c r="H6" s="39" t="str">
        <x:v>Ativa</x:v>
      </x:c>
      <x:c r="I6" s="39" t="str">
        <x:v>Fonte pública; verificar novamente antes de outreach.</x:v>
      </x:c>
    </x:row>
    <x:row r="7" ht="40" customHeight="1">
      <x:c r="A7" s="39" t="str">
        <x:v>SRC00006</x:v>
      </x:c>
      <x:c r="B7" s="39" t="str">
        <x:v>https://www.jme.vc/</x:v>
      </x:c>
      <x:c r="C7" s="39" t="str">
        <x:v>www.jme.vc</x:v>
      </x:c>
      <x:c r="D7" s="39" t="str">
        <x:v>Equipa</x:v>
      </x:c>
      <x:c r="E7" s="39" t="str">
        <x:v>Investidor</x:v>
      </x:c>
      <x:c r="F7" s="39" t="str">
        <x:v>INV003</x:v>
      </x:c>
      <x:c r="G7" s="44" t="str">
        <x:v>2026-09-09</x:v>
      </x:c>
      <x:c r="H7" s="39" t="str">
        <x:v>Ativa</x:v>
      </x:c>
      <x:c r="I7" s="39" t="str">
        <x:v>Fonte pública; verificar novamente antes de outreach.</x:v>
      </x:c>
    </x:row>
    <x:row r="8" ht="40" customHeight="1">
      <x:c r="A8" s="39" t="str">
        <x:v>SRC00007</x:v>
      </x:c>
      <x:c r="B8" s="39" t="str">
        <x:v>https://www.picuscap.com/philosophy/</x:v>
      </x:c>
      <x:c r="C8" s="39" t="str">
        <x:v>www.picuscap.com</x:v>
      </x:c>
      <x:c r="D8" s="39" t="str">
        <x:v>Tese / critérios</x:v>
      </x:c>
      <x:c r="E8" s="39" t="str">
        <x:v>Investidor</x:v>
      </x:c>
      <x:c r="F8" s="39" t="str">
        <x:v>INV004</x:v>
      </x:c>
      <x:c r="G8" s="44" t="str">
        <x:v>2026-09-09</x:v>
      </x:c>
      <x:c r="H8" s="39" t="str">
        <x:v>Ativa</x:v>
      </x:c>
      <x:c r="I8" s="39" t="str">
        <x:v>Fonte pública; verificar novamente antes de outreach.</x:v>
      </x:c>
    </x:row>
    <x:row r="9" ht="40" customHeight="1">
      <x:c r="A9" s="39" t="str">
        <x:v>SRC00008</x:v>
      </x:c>
      <x:c r="B9" s="39" t="str">
        <x:v>https://www.picuscap.com/team/</x:v>
      </x:c>
      <x:c r="C9" s="39" t="str">
        <x:v>www.picuscap.com</x:v>
      </x:c>
      <x:c r="D9" s="39" t="str">
        <x:v>Equipa</x:v>
      </x:c>
      <x:c r="E9" s="39" t="str">
        <x:v>Investidor</x:v>
      </x:c>
      <x:c r="F9" s="39" t="str">
        <x:v>INV004</x:v>
      </x:c>
      <x:c r="G9" s="44" t="str">
        <x:v>2026-09-09</x:v>
      </x:c>
      <x:c r="H9" s="39" t="str">
        <x:v>Ativa</x:v>
      </x:c>
      <x:c r="I9" s="39" t="str">
        <x:v>Fonte pública; verificar novamente antes de outreach.</x:v>
      </x:c>
    </x:row>
    <x:row r="10" ht="40" customHeight="1">
      <x:c r="A10" s="39" t="str">
        <x:v>SRC00009</x:v>
      </x:c>
      <x:c r="B10" s="39" t="str">
        <x:v>https://www.speedinvest.com/how-we-work</x:v>
      </x:c>
      <x:c r="C10" s="39" t="str">
        <x:v>www.speedinvest.com</x:v>
      </x:c>
      <x:c r="D10" s="39" t="str">
        <x:v>Tese / critérios</x:v>
      </x:c>
      <x:c r="E10" s="39" t="str">
        <x:v>Investidor</x:v>
      </x:c>
      <x:c r="F10" s="39" t="str">
        <x:v>INV005</x:v>
      </x:c>
      <x:c r="G10" s="44" t="str">
        <x:v>2026-09-09</x:v>
      </x:c>
      <x:c r="H10" s="39" t="str">
        <x:v>Ativa</x:v>
      </x:c>
      <x:c r="I10" s="39" t="str">
        <x:v>Fonte pública; verificar novamente antes de outreach.</x:v>
      </x:c>
    </x:row>
    <x:row r="11" ht="40" customHeight="1">
      <x:c r="A11" s="39" t="str">
        <x:v>SRC00010</x:v>
      </x:c>
      <x:c r="B11" s="39" t="str">
        <x:v>https://www.speedinvest.com/team</x:v>
      </x:c>
      <x:c r="C11" s="39" t="str">
        <x:v>www.speedinvest.com</x:v>
      </x:c>
      <x:c r="D11" s="39" t="str">
        <x:v>Equipa</x:v>
      </x:c>
      <x:c r="E11" s="39" t="str">
        <x:v>Investidor</x:v>
      </x:c>
      <x:c r="F11" s="39" t="str">
        <x:v>INV005</x:v>
      </x:c>
      <x:c r="G11" s="44" t="str">
        <x:v>2026-09-09</x:v>
      </x:c>
      <x:c r="H11" s="39" t="str">
        <x:v>Ativa</x:v>
      </x:c>
      <x:c r="I11" s="39" t="str">
        <x:v>Fonte pública; verificar novamente antes de outreach.</x:v>
      </x:c>
    </x:row>
    <x:row r="12" ht="40" customHeight="1">
      <x:c r="A12" s="39" t="str">
        <x:v>SRC00011</x:v>
      </x:c>
      <x:c r="B12" s="39" t="str">
        <x:v>https://www.indexventures.com/companies/</x:v>
      </x:c>
      <x:c r="C12" s="39" t="str">
        <x:v>www.indexventures.com</x:v>
      </x:c>
      <x:c r="D12" s="39" t="str">
        <x:v>Tese / critérios</x:v>
      </x:c>
      <x:c r="E12" s="39" t="str">
        <x:v>Investidor</x:v>
      </x:c>
      <x:c r="F12" s="39" t="str">
        <x:v>INV006</x:v>
      </x:c>
      <x:c r="G12" s="44" t="str">
        <x:v>2026-09-09</x:v>
      </x:c>
      <x:c r="H12" s="39" t="str">
        <x:v>Ativa</x:v>
      </x:c>
      <x:c r="I12" s="39" t="str">
        <x:v>Fonte pública; verificar novamente antes de outreach.</x:v>
      </x:c>
    </x:row>
    <x:row r="13" ht="40" customHeight="1">
      <x:c r="A13" s="39" t="str">
        <x:v>SRC00012</x:v>
      </x:c>
      <x:c r="B13" s="39" t="str">
        <x:v>https://www.indexventures.com/team/</x:v>
      </x:c>
      <x:c r="C13" s="39" t="str">
        <x:v>www.indexventures.com</x:v>
      </x:c>
      <x:c r="D13" s="39" t="str">
        <x:v>Equipa</x:v>
      </x:c>
      <x:c r="E13" s="39" t="str">
        <x:v>Investidor</x:v>
      </x:c>
      <x:c r="F13" s="39" t="str">
        <x:v>INV006</x:v>
      </x:c>
      <x:c r="G13" s="44" t="str">
        <x:v>2026-09-09</x:v>
      </x:c>
      <x:c r="H13" s="39" t="str">
        <x:v>Ativa</x:v>
      </x:c>
      <x:c r="I13" s="39" t="str">
        <x:v>Fonte pública; verificar novamente antes de outreach.</x:v>
      </x:c>
    </x:row>
    <x:row r="14" ht="40" customHeight="1">
      <x:c r="A14" s="39" t="str">
        <x:v>SRC00013</x:v>
      </x:c>
      <x:c r="B14" s="39" t="str">
        <x:v>https://20.atomico.com/</x:v>
      </x:c>
      <x:c r="C14" s="39" t="str">
        <x:v>20.atomico.com</x:v>
      </x:c>
      <x:c r="D14" s="39" t="str">
        <x:v>Tese / critérios</x:v>
      </x:c>
      <x:c r="E14" s="39" t="str">
        <x:v>Investidor</x:v>
      </x:c>
      <x:c r="F14" s="39" t="str">
        <x:v>INV007</x:v>
      </x:c>
      <x:c r="G14" s="44" t="str">
        <x:v>2026-09-09</x:v>
      </x:c>
      <x:c r="H14" s="39" t="str">
        <x:v>Ativa</x:v>
      </x:c>
      <x:c r="I14" s="39" t="str">
        <x:v>Fonte pública; verificar novamente antes de outreach.</x:v>
      </x:c>
    </x:row>
    <x:row r="15" ht="40" customHeight="1">
      <x:c r="A15" s="39" t="str">
        <x:v>SRC00014</x:v>
      </x:c>
      <x:c r="B15" s="39" t="str">
        <x:v>https://20.atomico.com/</x:v>
      </x:c>
      <x:c r="C15" s="39" t="str">
        <x:v>20.atomico.com</x:v>
      </x:c>
      <x:c r="D15" s="39" t="str">
        <x:v>Equipa</x:v>
      </x:c>
      <x:c r="E15" s="39" t="str">
        <x:v>Investidor</x:v>
      </x:c>
      <x:c r="F15" s="39" t="str">
        <x:v>INV007</x:v>
      </x:c>
      <x:c r="G15" s="44" t="str">
        <x:v>2026-09-09</x:v>
      </x:c>
      <x:c r="H15" s="39" t="str">
        <x:v>Ativa</x:v>
      </x:c>
      <x:c r="I15" s="39" t="str">
        <x:v>Fonte pública; verificar novamente antes de outreach.</x:v>
      </x:c>
    </x:row>
    <x:row r="16" ht="40" customHeight="1">
      <x:c r="A16" s="39" t="str">
        <x:v>SRC00015</x:v>
      </x:c>
      <x:c r="B16" s="39" t="str">
        <x:v>https://www.balderton.com/about-balderton/</x:v>
      </x:c>
      <x:c r="C16" s="39" t="str">
        <x:v>www.balderton.com</x:v>
      </x:c>
      <x:c r="D16" s="39" t="str">
        <x:v>Tese / critérios</x:v>
      </x:c>
      <x:c r="E16" s="39" t="str">
        <x:v>Investidor</x:v>
      </x:c>
      <x:c r="F16" s="39" t="str">
        <x:v>INV008</x:v>
      </x:c>
      <x:c r="G16" s="44" t="str">
        <x:v>2026-09-09</x:v>
      </x:c>
      <x:c r="H16" s="39" t="str">
        <x:v>Ativa</x:v>
      </x:c>
      <x:c r="I16" s="39" t="str">
        <x:v>Fonte pública; verificar novamente antes de outreach.</x:v>
      </x:c>
    </x:row>
    <x:row r="17" ht="40" customHeight="1">
      <x:c r="A17" s="39" t="str">
        <x:v>SRC00016</x:v>
      </x:c>
      <x:c r="B17" s="39" t="str">
        <x:v>https://www.balderton.com/team/</x:v>
      </x:c>
      <x:c r="C17" s="39" t="str">
        <x:v>www.balderton.com</x:v>
      </x:c>
      <x:c r="D17" s="39" t="str">
        <x:v>Equipa</x:v>
      </x:c>
      <x:c r="E17" s="39" t="str">
        <x:v>Investidor</x:v>
      </x:c>
      <x:c r="F17" s="39" t="str">
        <x:v>INV008</x:v>
      </x:c>
      <x:c r="G17" s="44" t="str">
        <x:v>2026-09-09</x:v>
      </x:c>
      <x:c r="H17" s="39" t="str">
        <x:v>Ativa</x:v>
      </x:c>
      <x:c r="I17" s="39" t="str">
        <x:v>Fonte pública; verificar novamente antes de outreach.</x:v>
      </x:c>
    </x:row>
    <x:row r="18" ht="40" customHeight="1">
      <x:c r="A18" s="39" t="str">
        <x:v>SRC00017</x:v>
      </x:c>
      <x:c r="B18" s="39" t="str">
        <x:v>https://cherry.vc/about</x:v>
      </x:c>
      <x:c r="C18" s="39" t="str">
        <x:v>cherry.vc</x:v>
      </x:c>
      <x:c r="D18" s="39" t="str">
        <x:v>Tese / critérios</x:v>
      </x:c>
      <x:c r="E18" s="39" t="str">
        <x:v>Investidor</x:v>
      </x:c>
      <x:c r="F18" s="39" t="str">
        <x:v>INV009</x:v>
      </x:c>
      <x:c r="G18" s="44" t="str">
        <x:v>2026-09-09</x:v>
      </x:c>
      <x:c r="H18" s="39" t="str">
        <x:v>Ativa</x:v>
      </x:c>
      <x:c r="I18" s="39" t="str">
        <x:v>Fonte pública; verificar novamente antes de outreach.</x:v>
      </x:c>
    </x:row>
    <x:row r="19" ht="40" customHeight="1">
      <x:c r="A19" s="39" t="str">
        <x:v>SRC00018</x:v>
      </x:c>
      <x:c r="B19" s="39" t="str">
        <x:v>https://cherry.vc/team</x:v>
      </x:c>
      <x:c r="C19" s="39" t="str">
        <x:v>cherry.vc</x:v>
      </x:c>
      <x:c r="D19" s="39" t="str">
        <x:v>Equipa</x:v>
      </x:c>
      <x:c r="E19" s="39" t="str">
        <x:v>Investidor</x:v>
      </x:c>
      <x:c r="F19" s="39" t="str">
        <x:v>INV009</x:v>
      </x:c>
      <x:c r="G19" s="44" t="str">
        <x:v>2026-09-09</x:v>
      </x:c>
      <x:c r="H19" s="39" t="str">
        <x:v>Ativa</x:v>
      </x:c>
      <x:c r="I19" s="39" t="str">
        <x:v>Fonte pública; verificar novamente antes de outreach.</x:v>
      </x:c>
    </x:row>
    <x:row r="20" ht="40" customHeight="1">
      <x:c r="A20" s="39" t="str">
        <x:v>SRC00019</x:v>
      </x:c>
      <x:c r="B20" s="39" t="str">
        <x:v>https://creandum.com/</x:v>
      </x:c>
      <x:c r="C20" s="39" t="str">
        <x:v>creandum.com</x:v>
      </x:c>
      <x:c r="D20" s="39" t="str">
        <x:v>Tese / critérios</x:v>
      </x:c>
      <x:c r="E20" s="39" t="str">
        <x:v>Investidor</x:v>
      </x:c>
      <x:c r="F20" s="39" t="str">
        <x:v>INV010</x:v>
      </x:c>
      <x:c r="G20" s="44" t="str">
        <x:v>2026-09-09</x:v>
      </x:c>
      <x:c r="H20" s="39" t="str">
        <x:v>Ativa</x:v>
      </x:c>
      <x:c r="I20" s="39" t="str">
        <x:v>Fonte pública; verificar novamente antes de outreach.</x:v>
      </x:c>
    </x:row>
    <x:row r="21" ht="40" customHeight="1">
      <x:c r="A21" s="39" t="str">
        <x:v>SRC00020</x:v>
      </x:c>
      <x:c r="B21" s="39" t="str">
        <x:v>https://creandum.com/team/</x:v>
      </x:c>
      <x:c r="C21" s="39" t="str">
        <x:v>creandum.com</x:v>
      </x:c>
      <x:c r="D21" s="39" t="str">
        <x:v>Equipa</x:v>
      </x:c>
      <x:c r="E21" s="39" t="str">
        <x:v>Investidor</x:v>
      </x:c>
      <x:c r="F21" s="39" t="str">
        <x:v>INV010</x:v>
      </x:c>
      <x:c r="G21" s="44" t="str">
        <x:v>2026-09-09</x:v>
      </x:c>
      <x:c r="H21" s="39" t="str">
        <x:v>Ativa</x:v>
      </x:c>
      <x:c r="I21" s="39" t="str">
        <x:v>Fonte pública; verificar novamente antes de outreach.</x:v>
      </x:c>
    </x:row>
    <x:row r="22" ht="40" customHeight="1">
      <x:c r="A22" s="39" t="str">
        <x:v>SRC00021</x:v>
      </x:c>
      <x:c r="B22" s="39" t="str">
        <x:v>https://northzone.com/</x:v>
      </x:c>
      <x:c r="C22" s="39" t="str">
        <x:v>northzone.com</x:v>
      </x:c>
      <x:c r="D22" s="39" t="str">
        <x:v>Tese / critérios</x:v>
      </x:c>
      <x:c r="E22" s="39" t="str">
        <x:v>Investidor</x:v>
      </x:c>
      <x:c r="F22" s="39" t="str">
        <x:v>INV011</x:v>
      </x:c>
      <x:c r="G22" s="44" t="str">
        <x:v>2026-09-09</x:v>
      </x:c>
      <x:c r="H22" s="39" t="str">
        <x:v>Ativa</x:v>
      </x:c>
      <x:c r="I22" s="39" t="str">
        <x:v>Fonte pública; verificar novamente antes de outreach.</x:v>
      </x:c>
    </x:row>
    <x:row r="23" ht="40" customHeight="1">
      <x:c r="A23" s="39" t="str">
        <x:v>SRC00022</x:v>
      </x:c>
      <x:c r="B23" s="39" t="str">
        <x:v>https://northzone.com/team</x:v>
      </x:c>
      <x:c r="C23" s="39" t="str">
        <x:v>northzone.com</x:v>
      </x:c>
      <x:c r="D23" s="39" t="str">
        <x:v>Equipa</x:v>
      </x:c>
      <x:c r="E23" s="39" t="str">
        <x:v>Investidor</x:v>
      </x:c>
      <x:c r="F23" s="39" t="str">
        <x:v>INV011</x:v>
      </x:c>
      <x:c r="G23" s="44" t="str">
        <x:v>2026-09-09</x:v>
      </x:c>
      <x:c r="H23" s="39" t="str">
        <x:v>Ativa</x:v>
      </x:c>
      <x:c r="I23" s="39" t="str">
        <x:v>Fonte pública; verificar novamente antes de outreach.</x:v>
      </x:c>
    </x:row>
    <x:row r="24" ht="40" customHeight="1">
      <x:c r="A24" s="39" t="str">
        <x:v>SRC00023</x:v>
      </x:c>
      <x:c r="B24" s="39" t="str">
        <x:v>https://www.project-a.com/</x:v>
      </x:c>
      <x:c r="C24" s="39" t="str">
        <x:v>www.project-a.com</x:v>
      </x:c>
      <x:c r="D24" s="39" t="str">
        <x:v>Tese / critérios</x:v>
      </x:c>
      <x:c r="E24" s="39" t="str">
        <x:v>Investidor</x:v>
      </x:c>
      <x:c r="F24" s="39" t="str">
        <x:v>INV012</x:v>
      </x:c>
      <x:c r="G24" s="44" t="str">
        <x:v>2026-09-09</x:v>
      </x:c>
      <x:c r="H24" s="39" t="str">
        <x:v>Ativa</x:v>
      </x:c>
      <x:c r="I24" s="39" t="str">
        <x:v>Fonte pública; verificar novamente antes de outreach.</x:v>
      </x:c>
    </x:row>
    <x:row r="25" ht="40" customHeight="1">
      <x:c r="A25" s="39" t="str">
        <x:v>SRC00024</x:v>
      </x:c>
      <x:c r="B25" s="39" t="str">
        <x:v>https://www.project-a.com/team/</x:v>
      </x:c>
      <x:c r="C25" s="39" t="str">
        <x:v>www.project-a.com</x:v>
      </x:c>
      <x:c r="D25" s="39" t="str">
        <x:v>Equipa</x:v>
      </x:c>
      <x:c r="E25" s="39" t="str">
        <x:v>Investidor</x:v>
      </x:c>
      <x:c r="F25" s="39" t="str">
        <x:v>INV012</x:v>
      </x:c>
      <x:c r="G25" s="44" t="str">
        <x:v>2026-09-09</x:v>
      </x:c>
      <x:c r="H25" s="39" t="str">
        <x:v>Ativa</x:v>
      </x:c>
      <x:c r="I25" s="39" t="str">
        <x:v>Fonte pública; verificar novamente antes de outreach.</x:v>
      </x:c>
    </x:row>
    <x:row r="26" ht="40" customHeight="1">
      <x:c r="A26" s="39" t="str">
        <x:v>SRC00025</x:v>
      </x:c>
      <x:c r="B26" s="39" t="str">
        <x:v>https://www.dawncapital.com/content-hub/dawn-raises-700m-to-invest-in-the-next-generation-ofeuropean-b2b-software-winners</x:v>
      </x:c>
      <x:c r="C26" s="39" t="str">
        <x:v>www.dawncapital.com</x:v>
      </x:c>
      <x:c r="D26" s="39" t="str">
        <x:v>Tese / critérios</x:v>
      </x:c>
      <x:c r="E26" s="39" t="str">
        <x:v>Investidor</x:v>
      </x:c>
      <x:c r="F26" s="39" t="str">
        <x:v>INV013</x:v>
      </x:c>
      <x:c r="G26" s="44" t="str">
        <x:v>2026-09-09</x:v>
      </x:c>
      <x:c r="H26" s="39" t="str">
        <x:v>Ativa</x:v>
      </x:c>
      <x:c r="I26" s="39" t="str">
        <x:v>Fonte pública; verificar novamente antes de outreach.</x:v>
      </x:c>
    </x:row>
    <x:row r="27" ht="40" customHeight="1">
      <x:c r="A27" s="39" t="str">
        <x:v>SRC00026</x:v>
      </x:c>
      <x:c r="B27" s="39" t="str">
        <x:v>https://www.dawncapital.com/team</x:v>
      </x:c>
      <x:c r="C27" s="39" t="str">
        <x:v>www.dawncapital.com</x:v>
      </x:c>
      <x:c r="D27" s="39" t="str">
        <x:v>Equipa</x:v>
      </x:c>
      <x:c r="E27" s="39" t="str">
        <x:v>Investidor</x:v>
      </x:c>
      <x:c r="F27" s="39" t="str">
        <x:v>INV013</x:v>
      </x:c>
      <x:c r="G27" s="44" t="str">
        <x:v>2026-09-09</x:v>
      </x:c>
      <x:c r="H27" s="39" t="str">
        <x:v>Ativa</x:v>
      </x:c>
      <x:c r="I27" s="39" t="str">
        <x:v>Fonte pública; verificar novamente antes de outreach.</x:v>
      </x:c>
    </x:row>
    <x:row r="28" ht="40" customHeight="1">
      <x:c r="A28" s="39" t="str">
        <x:v>SRC00027</x:v>
      </x:c>
      <x:c r="B28" s="39" t="str">
        <x:v>https://octopusventures.com/</x:v>
      </x:c>
      <x:c r="C28" s="39" t="str">
        <x:v>octopusventures.com</x:v>
      </x:c>
      <x:c r="D28" s="39" t="str">
        <x:v>Tese / critérios</x:v>
      </x:c>
      <x:c r="E28" s="39" t="str">
        <x:v>Investidor</x:v>
      </x:c>
      <x:c r="F28" s="39" t="str">
        <x:v>INV014</x:v>
      </x:c>
      <x:c r="G28" s="44" t="str">
        <x:v>2026-09-09</x:v>
      </x:c>
      <x:c r="H28" s="39" t="str">
        <x:v>Ativa</x:v>
      </x:c>
      <x:c r="I28" s="39" t="str">
        <x:v>Fonte pública; verificar novamente antes de outreach.</x:v>
      </x:c>
    </x:row>
    <x:row r="29" ht="40" customHeight="1">
      <x:c r="A29" s="39" t="str">
        <x:v>SRC00028</x:v>
      </x:c>
      <x:c r="B29" s="39" t="str">
        <x:v>https://octopusventures.com/</x:v>
      </x:c>
      <x:c r="C29" s="39" t="str">
        <x:v>octopusventures.com</x:v>
      </x:c>
      <x:c r="D29" s="39" t="str">
        <x:v>Equipa</x:v>
      </x:c>
      <x:c r="E29" s="39" t="str">
        <x:v>Investidor</x:v>
      </x:c>
      <x:c r="F29" s="39" t="str">
        <x:v>INV014</x:v>
      </x:c>
      <x:c r="G29" s="44" t="str">
        <x:v>2026-09-09</x:v>
      </x:c>
      <x:c r="H29" s="39" t="str">
        <x:v>Ativa</x:v>
      </x:c>
      <x:c r="I29" s="39" t="str">
        <x:v>Fonte pública; verificar novamente antes de outreach.</x:v>
      </x:c>
    </x:row>
    <x:row r="30" ht="40" customHeight="1">
      <x:c r="A30" s="39" t="str">
        <x:v>SRC00029</x:v>
      </x:c>
      <x:c r="B30" s="39" t="str">
        <x:v>https://www.notion.vc/resources/notion-capital-on-track-to-becoming-the-go-to-investor-for-cloud-and-saas-entrepreneurs</x:v>
      </x:c>
      <x:c r="C30" s="39" t="str">
        <x:v>www.notion.vc</x:v>
      </x:c>
      <x:c r="D30" s="39" t="str">
        <x:v>Tese / critérios</x:v>
      </x:c>
      <x:c r="E30" s="39" t="str">
        <x:v>Investidor</x:v>
      </x:c>
      <x:c r="F30" s="39" t="str">
        <x:v>INV015</x:v>
      </x:c>
      <x:c r="G30" s="44" t="str">
        <x:v>2026-09-09</x:v>
      </x:c>
      <x:c r="H30" s="39" t="str">
        <x:v>Ativa</x:v>
      </x:c>
      <x:c r="I30" s="39" t="str">
        <x:v>Fonte pública; verificar novamente antes de outreach.</x:v>
      </x:c>
    </x:row>
    <x:row r="31" ht="40" customHeight="1">
      <x:c r="A31" s="39" t="str">
        <x:v>SRC00030</x:v>
      </x:c>
      <x:c r="B31" s="39" t="str">
        <x:v>https://www.notion.vc/our-team/</x:v>
      </x:c>
      <x:c r="C31" s="39" t="str">
        <x:v>www.notion.vc</x:v>
      </x:c>
      <x:c r="D31" s="39" t="str">
        <x:v>Equipa</x:v>
      </x:c>
      <x:c r="E31" s="39" t="str">
        <x:v>Investidor</x:v>
      </x:c>
      <x:c r="F31" s="39" t="str">
        <x:v>INV015</x:v>
      </x:c>
      <x:c r="G31" s="44" t="str">
        <x:v>2026-09-09</x:v>
      </x:c>
      <x:c r="H31" s="39" t="str">
        <x:v>Ativa</x:v>
      </x:c>
      <x:c r="I31" s="39" t="str">
        <x:v>Fonte pública; verificar novamente antes de outreach.</x:v>
      </x:c>
    </x:row>
    <x:row r="32" ht="40" customHeight="1">
      <x:c r="A32" s="39" t="str">
        <x:v>SRC00031</x:v>
      </x:c>
      <x:c r="B32" s="39" t="str">
        <x:v>https://www.nautacapital.com/</x:v>
      </x:c>
      <x:c r="C32" s="39" t="str">
        <x:v>www.nautacapital.com</x:v>
      </x:c>
      <x:c r="D32" s="39" t="str">
        <x:v>Tese / critérios</x:v>
      </x:c>
      <x:c r="E32" s="39" t="str">
        <x:v>Investidor</x:v>
      </x:c>
      <x:c r="F32" s="39" t="str">
        <x:v>INV016</x:v>
      </x:c>
      <x:c r="G32" s="44" t="str">
        <x:v>2026-09-09</x:v>
      </x:c>
      <x:c r="H32" s="39" t="str">
        <x:v>Ativa</x:v>
      </x:c>
      <x:c r="I32" s="39" t="str">
        <x:v>Fonte pública; verificar novamente antes de outreach.</x:v>
      </x:c>
    </x:row>
    <x:row r="33" ht="40" customHeight="1">
      <x:c r="A33" s="39" t="str">
        <x:v>SRC00032</x:v>
      </x:c>
      <x:c r="B33" s="39" t="str">
        <x:v>https://www.nautacapital.com/team</x:v>
      </x:c>
      <x:c r="C33" s="39" t="str">
        <x:v>www.nautacapital.com</x:v>
      </x:c>
      <x:c r="D33" s="39" t="str">
        <x:v>Equipa</x:v>
      </x:c>
      <x:c r="E33" s="39" t="str">
        <x:v>Investidor</x:v>
      </x:c>
      <x:c r="F33" s="39" t="str">
        <x:v>INV016</x:v>
      </x:c>
      <x:c r="G33" s="44" t="str">
        <x:v>2026-09-09</x:v>
      </x:c>
      <x:c r="H33" s="39" t="str">
        <x:v>Ativa</x:v>
      </x:c>
      <x:c r="I33" s="39" t="str">
        <x:v>Fonte pública; verificar novamente antes de outreach.</x:v>
      </x:c>
    </x:row>
    <x:row r="34" ht="40" customHeight="1">
      <x:c r="A34" s="39" t="str">
        <x:v>SRC00033</x:v>
      </x:c>
      <x:c r="B34" s="39" t="str">
        <x:v>https://www.kfund.vc/post/kfund-tech-due-diligence</x:v>
      </x:c>
      <x:c r="C34" s="39" t="str">
        <x:v>www.kfund.vc</x:v>
      </x:c>
      <x:c r="D34" s="39" t="str">
        <x:v>Tese / critérios</x:v>
      </x:c>
      <x:c r="E34" s="39" t="str">
        <x:v>Investidor</x:v>
      </x:c>
      <x:c r="F34" s="39" t="str">
        <x:v>INV017</x:v>
      </x:c>
      <x:c r="G34" s="44" t="str">
        <x:v>2026-09-09</x:v>
      </x:c>
      <x:c r="H34" s="39" t="str">
        <x:v>Ativa</x:v>
      </x:c>
      <x:c r="I34" s="39" t="str">
        <x:v>Fonte pública; verificar novamente antes de outreach.</x:v>
      </x:c>
    </x:row>
    <x:row r="35" ht="40" customHeight="1">
      <x:c r="A35" s="39" t="str">
        <x:v>SRC00034</x:v>
      </x:c>
      <x:c r="B35" s="39" t="str">
        <x:v>https://www.kfund.vc/team</x:v>
      </x:c>
      <x:c r="C35" s="39" t="str">
        <x:v>www.kfund.vc</x:v>
      </x:c>
      <x:c r="D35" s="39" t="str">
        <x:v>Equipa</x:v>
      </x:c>
      <x:c r="E35" s="39" t="str">
        <x:v>Investidor</x:v>
      </x:c>
      <x:c r="F35" s="39" t="str">
        <x:v>INV017</x:v>
      </x:c>
      <x:c r="G35" s="44" t="str">
        <x:v>2026-09-09</x:v>
      </x:c>
      <x:c r="H35" s="39" t="str">
        <x:v>Ativa</x:v>
      </x:c>
      <x:c r="I35" s="39" t="str">
        <x:v>Fonte pública; verificar novamente antes de outreach.</x:v>
      </x:c>
    </x:row>
    <x:row r="36" ht="40" customHeight="1">
      <x:c r="A36" s="39" t="str">
        <x:v>SRC00035</x:v>
      </x:c>
      <x:c r="B36" s="39" t="str">
        <x:v>https://www.samaipata.vc/post/the-founders-q-a</x:v>
      </x:c>
      <x:c r="C36" s="39" t="str">
        <x:v>www.samaipata.vc</x:v>
      </x:c>
      <x:c r="D36" s="39" t="str">
        <x:v>Tese / critérios</x:v>
      </x:c>
      <x:c r="E36" s="39" t="str">
        <x:v>Investidor</x:v>
      </x:c>
      <x:c r="F36" s="39" t="str">
        <x:v>INV018</x:v>
      </x:c>
      <x:c r="G36" s="44" t="str">
        <x:v>2026-09-09</x:v>
      </x:c>
      <x:c r="H36" s="39" t="str">
        <x:v>Ativa</x:v>
      </x:c>
      <x:c r="I36" s="39" t="str">
        <x:v>Fonte pública; verificar novamente antes de outreach.</x:v>
      </x:c>
    </x:row>
    <x:row r="37" ht="40" customHeight="1">
      <x:c r="A37" s="39" t="str">
        <x:v>SRC00036</x:v>
      </x:c>
      <x:c r="B37" s="39" t="str">
        <x:v>https://www.samaipata.vc/samaipata-team</x:v>
      </x:c>
      <x:c r="C37" s="39" t="str">
        <x:v>www.samaipata.vc</x:v>
      </x:c>
      <x:c r="D37" s="39" t="str">
        <x:v>Equipa</x:v>
      </x:c>
      <x:c r="E37" s="39" t="str">
        <x:v>Investidor</x:v>
      </x:c>
      <x:c r="F37" s="39" t="str">
        <x:v>INV018</x:v>
      </x:c>
      <x:c r="G37" s="44" t="str">
        <x:v>2026-09-09</x:v>
      </x:c>
      <x:c r="H37" s="39" t="str">
        <x:v>Ativa</x:v>
      </x:c>
      <x:c r="I37" s="39" t="str">
        <x:v>Fonte pública; verificar novamente antes de outreach.</x:v>
      </x:c>
    </x:row>
    <x:row r="38" ht="40" customHeight="1">
      <x:c r="A38" s="39" t="str">
        <x:v>SRC00037</x:v>
      </x:c>
      <x:c r="B38" s="39" t="str">
        <x:v>https://www.portugalventures.pt/</x:v>
      </x:c>
      <x:c r="C38" s="39" t="str">
        <x:v>www.portugalventures.pt</x:v>
      </x:c>
      <x:c r="D38" s="39" t="str">
        <x:v>Tese / critérios</x:v>
      </x:c>
      <x:c r="E38" s="39" t="str">
        <x:v>Investidor</x:v>
      </x:c>
      <x:c r="F38" s="39" t="str">
        <x:v>INV019</x:v>
      </x:c>
      <x:c r="G38" s="44" t="str">
        <x:v>2026-09-09</x:v>
      </x:c>
      <x:c r="H38" s="39" t="str">
        <x:v>Ativa</x:v>
      </x:c>
      <x:c r="I38" s="39" t="str">
        <x:v>Fonte pública; verificar novamente antes de outreach.</x:v>
      </x:c>
    </x:row>
    <x:row r="39" ht="40" customHeight="1">
      <x:c r="A39" s="39" t="str">
        <x:v>SRC00038</x:v>
      </x:c>
      <x:c r="B39" s="39" t="str">
        <x:v>https://www.portugalventures.pt/en/team/</x:v>
      </x:c>
      <x:c r="C39" s="39" t="str">
        <x:v>www.portugalventures.pt</x:v>
      </x:c>
      <x:c r="D39" s="39" t="str">
        <x:v>Equipa</x:v>
      </x:c>
      <x:c r="E39" s="39" t="str">
        <x:v>Investidor</x:v>
      </x:c>
      <x:c r="F39" s="39" t="str">
        <x:v>INV019</x:v>
      </x:c>
      <x:c r="G39" s="44" t="str">
        <x:v>2026-09-09</x:v>
      </x:c>
      <x:c r="H39" s="39" t="str">
        <x:v>Ativa</x:v>
      </x:c>
      <x:c r="I39" s="39" t="str">
        <x:v>Fonte pública; verificar novamente antes de outreach.</x:v>
      </x:c>
    </x:row>
    <x:row r="40" ht="40" customHeight="1">
      <x:c r="A40" s="39" t="str">
        <x:v>SRC00039</x:v>
      </x:c>
      <x:c r="B40" s="39" t="str">
        <x:v>https://www.indicocapital.com/about-us</x:v>
      </x:c>
      <x:c r="C40" s="39" t="str">
        <x:v>www.indicocapital.com</x:v>
      </x:c>
      <x:c r="D40" s="39" t="str">
        <x:v>Tese / critérios</x:v>
      </x:c>
      <x:c r="E40" s="39" t="str">
        <x:v>Investidor</x:v>
      </x:c>
      <x:c r="F40" s="39" t="str">
        <x:v>INV020</x:v>
      </x:c>
      <x:c r="G40" s="44" t="str">
        <x:v>2026-09-09</x:v>
      </x:c>
      <x:c r="H40" s="39" t="str">
        <x:v>Ativa</x:v>
      </x:c>
      <x:c r="I40" s="39" t="str">
        <x:v>Fonte pública; verificar novamente antes de outreach.</x:v>
      </x:c>
    </x:row>
    <x:row r="41" ht="40" customHeight="1">
      <x:c r="A41" s="39" t="str">
        <x:v>SRC00040</x:v>
      </x:c>
      <x:c r="B41" s="39" t="str">
        <x:v>https://www.indicocapital.com/about-us</x:v>
      </x:c>
      <x:c r="C41" s="39" t="str">
        <x:v>www.indicocapital.com</x:v>
      </x:c>
      <x:c r="D41" s="39" t="str">
        <x:v>Equipa</x:v>
      </x:c>
      <x:c r="E41" s="39" t="str">
        <x:v>Investidor</x:v>
      </x:c>
      <x:c r="F41" s="39" t="str">
        <x:v>INV020</x:v>
      </x:c>
      <x:c r="G41" s="44" t="str">
        <x:v>2026-09-09</x:v>
      </x:c>
      <x:c r="H41" s="39" t="str">
        <x:v>Ativa</x:v>
      </x:c>
      <x:c r="I41" s="39" t="str">
        <x:v>Fonte pública; verificar novamente antes de outreach.</x:v>
      </x:c>
    </x:row>
    <x:row r="42" ht="40" customHeight="1">
      <x:c r="A42" s="39" t="str">
        <x:v>SRC00041</x:v>
      </x:c>
      <x:c r="B42" s="39" t="str">
        <x:v>https://www.shilling.vc/</x:v>
      </x:c>
      <x:c r="C42" s="39" t="str">
        <x:v>www.shilling.vc</x:v>
      </x:c>
      <x:c r="D42" s="39" t="str">
        <x:v>Tese / critérios</x:v>
      </x:c>
      <x:c r="E42" s="39" t="str">
        <x:v>Investidor</x:v>
      </x:c>
      <x:c r="F42" s="39" t="str">
        <x:v>INV021</x:v>
      </x:c>
      <x:c r="G42" s="44" t="str">
        <x:v>2026-09-09</x:v>
      </x:c>
      <x:c r="H42" s="39" t="str">
        <x:v>Ativa</x:v>
      </x:c>
      <x:c r="I42" s="39" t="str">
        <x:v>Fonte pública; verificar novamente antes de outreach.</x:v>
      </x:c>
    </x:row>
    <x:row r="43" ht="40" customHeight="1">
      <x:c r="A43" s="39" t="str">
        <x:v>SRC00042</x:v>
      </x:c>
      <x:c r="B43" s="39" t="str">
        <x:v>https://www.shilling.vc/team</x:v>
      </x:c>
      <x:c r="C43" s="39" t="str">
        <x:v>www.shilling.vc</x:v>
      </x:c>
      <x:c r="D43" s="39" t="str">
        <x:v>Equipa</x:v>
      </x:c>
      <x:c r="E43" s="39" t="str">
        <x:v>Investidor</x:v>
      </x:c>
      <x:c r="F43" s="39" t="str">
        <x:v>INV021</x:v>
      </x:c>
      <x:c r="G43" s="44" t="str">
        <x:v>2026-09-09</x:v>
      </x:c>
      <x:c r="H43" s="39" t="str">
        <x:v>Ativa</x:v>
      </x:c>
      <x:c r="I43" s="39" t="str">
        <x:v>Fonte pública; verificar novamente antes de outreach.</x:v>
      </x:c>
    </x:row>
    <x:row r="44" ht="40" customHeight="1">
      <x:c r="A44" s="39" t="str">
        <x:v>SRC00043</x:v>
      </x:c>
      <x:c r="B44" s="39" t="str">
        <x:v>https://www.armilar.com/why-armilar</x:v>
      </x:c>
      <x:c r="C44" s="39" t="str">
        <x:v>www.armilar.com</x:v>
      </x:c>
      <x:c r="D44" s="39" t="str">
        <x:v>Tese / critérios</x:v>
      </x:c>
      <x:c r="E44" s="39" t="str">
        <x:v>Investidor</x:v>
      </x:c>
      <x:c r="F44" s="39" t="str">
        <x:v>INV022</x:v>
      </x:c>
      <x:c r="G44" s="44" t="str">
        <x:v>2026-09-09</x:v>
      </x:c>
      <x:c r="H44" s="39" t="str">
        <x:v>Ativa</x:v>
      </x:c>
      <x:c r="I44" s="39" t="str">
        <x:v>Fonte pública; verificar novamente antes de outreach.</x:v>
      </x:c>
    </x:row>
    <x:row r="45" ht="40" customHeight="1">
      <x:c r="A45" s="39" t="str">
        <x:v>SRC00044</x:v>
      </x:c>
      <x:c r="B45" s="39" t="str">
        <x:v>https://www.armilar.com/team</x:v>
      </x:c>
      <x:c r="C45" s="39" t="str">
        <x:v>www.armilar.com</x:v>
      </x:c>
      <x:c r="D45" s="39" t="str">
        <x:v>Equipa</x:v>
      </x:c>
      <x:c r="E45" s="39" t="str">
        <x:v>Investidor</x:v>
      </x:c>
      <x:c r="F45" s="39" t="str">
        <x:v>INV022</x:v>
      </x:c>
      <x:c r="G45" s="44" t="str">
        <x:v>2026-09-09</x:v>
      </x:c>
      <x:c r="H45" s="39" t="str">
        <x:v>Ativa</x:v>
      </x:c>
      <x:c r="I45" s="39" t="str">
        <x:v>Fonte pública; verificar novamente antes de outreach.</x:v>
      </x:c>
    </x:row>
    <x:row r="46" ht="40" customHeight="1">
      <x:c r="A46" s="39" t="str">
        <x:v>SRC00045</x:v>
      </x:c>
      <x:c r="B46" s="39" t="str">
        <x:v>https://hoxtonventures.com/</x:v>
      </x:c>
      <x:c r="C46" s="39" t="str">
        <x:v>hoxtonventures.com</x:v>
      </x:c>
      <x:c r="D46" s="39" t="str">
        <x:v>Tese / critérios</x:v>
      </x:c>
      <x:c r="E46" s="39" t="str">
        <x:v>Investidor</x:v>
      </x:c>
      <x:c r="F46" s="39" t="str">
        <x:v>INV023</x:v>
      </x:c>
      <x:c r="G46" s="44" t="str">
        <x:v>2026-09-09</x:v>
      </x:c>
      <x:c r="H46" s="39" t="str">
        <x:v>Ativa</x:v>
      </x:c>
      <x:c r="I46" s="39" t="str">
        <x:v>Fonte pública; verificar novamente antes de outreach.</x:v>
      </x:c>
    </x:row>
    <x:row r="47" ht="40" customHeight="1">
      <x:c r="A47" s="39" t="str">
        <x:v>SRC00046</x:v>
      </x:c>
      <x:c r="B47" s="39" t="str">
        <x:v>https://hoxtonventures.com/team/</x:v>
      </x:c>
      <x:c r="C47" s="39" t="str">
        <x:v>hoxtonventures.com</x:v>
      </x:c>
      <x:c r="D47" s="39" t="str">
        <x:v>Equipa</x:v>
      </x:c>
      <x:c r="E47" s="39" t="str">
        <x:v>Investidor</x:v>
      </x:c>
      <x:c r="F47" s="39" t="str">
        <x:v>INV023</x:v>
      </x:c>
      <x:c r="G47" s="44" t="str">
        <x:v>2026-09-09</x:v>
      </x:c>
      <x:c r="H47" s="39" t="str">
        <x:v>Ativa</x:v>
      </x:c>
      <x:c r="I47" s="39" t="str">
        <x:v>Fonte pública; verificar novamente antes de outreach.</x:v>
      </x:c>
    </x:row>
    <x:row r="48" ht="40" customHeight="1">
      <x:c r="A48" s="39" t="str">
        <x:v>SRC00047</x:v>
      </x:c>
      <x:c r="B48" s="39" t="str">
        <x:v>https://kindredcapital.vc/</x:v>
      </x:c>
      <x:c r="C48" s="39" t="str">
        <x:v>kindredcapital.vc</x:v>
      </x:c>
      <x:c r="D48" s="39" t="str">
        <x:v>Tese / critérios</x:v>
      </x:c>
      <x:c r="E48" s="39" t="str">
        <x:v>Investidor</x:v>
      </x:c>
      <x:c r="F48" s="39" t="str">
        <x:v>INV024</x:v>
      </x:c>
      <x:c r="G48" s="44" t="str">
        <x:v>2026-09-09</x:v>
      </x:c>
      <x:c r="H48" s="39" t="str">
        <x:v>Ativa</x:v>
      </x:c>
      <x:c r="I48" s="39" t="str">
        <x:v>Fonte pública; verificar novamente antes de outreach.</x:v>
      </x:c>
    </x:row>
    <x:row r="49" ht="40" customHeight="1">
      <x:c r="A49" s="39" t="str">
        <x:v>SRC00048</x:v>
      </x:c>
      <x:c r="B49" s="39" t="str">
        <x:v>https://kindredcapital.vc/</x:v>
      </x:c>
      <x:c r="C49" s="39" t="str">
        <x:v>kindredcapital.vc</x:v>
      </x:c>
      <x:c r="D49" s="39" t="str">
        <x:v>Equipa</x:v>
      </x:c>
      <x:c r="E49" s="39" t="str">
        <x:v>Investidor</x:v>
      </x:c>
      <x:c r="F49" s="39" t="str">
        <x:v>INV024</x:v>
      </x:c>
      <x:c r="G49" s="44" t="str">
        <x:v>2026-09-09</x:v>
      </x:c>
      <x:c r="H49" s="39" t="str">
        <x:v>Ativa</x:v>
      </x:c>
      <x:c r="I49" s="39" t="str">
        <x:v>Fonte pública; verificar novamente antes de outreach.</x:v>
      </x:c>
    </x:row>
    <x:row r="50" ht="40" customHeight="1">
      <x:c r="A50" s="39" t="str">
        <x:v>SRC00049</x:v>
      </x:c>
      <x:c r="B50" s="39" t="str">
        <x:v>https://www.connectventures.co/</x:v>
      </x:c>
      <x:c r="C50" s="39" t="str">
        <x:v>www.connectventures.co</x:v>
      </x:c>
      <x:c r="D50" s="39" t="str">
        <x:v>Tese / critérios</x:v>
      </x:c>
      <x:c r="E50" s="39" t="str">
        <x:v>Investidor</x:v>
      </x:c>
      <x:c r="F50" s="39" t="str">
        <x:v>INV025</x:v>
      </x:c>
      <x:c r="G50" s="44" t="str">
        <x:v>2026-09-09</x:v>
      </x:c>
      <x:c r="H50" s="39" t="str">
        <x:v>Ativa</x:v>
      </x:c>
      <x:c r="I50" s="39" t="str">
        <x:v>Fonte pública; verificar novamente antes de outreach.</x:v>
      </x:c>
    </x:row>
    <x:row r="51" ht="40" customHeight="1">
      <x:c r="A51" s="39" t="str">
        <x:v>SRC00050</x:v>
      </x:c>
      <x:c r="B51" s="39" t="str">
        <x:v>https://www.connectventures.co/</x:v>
      </x:c>
      <x:c r="C51" s="39" t="str">
        <x:v>www.connectventures.co</x:v>
      </x:c>
      <x:c r="D51" s="39" t="str">
        <x:v>Equipa</x:v>
      </x:c>
      <x:c r="E51" s="39" t="str">
        <x:v>Investidor</x:v>
      </x:c>
      <x:c r="F51" s="39" t="str">
        <x:v>INV025</x:v>
      </x:c>
      <x:c r="G51" s="44" t="str">
        <x:v>2026-09-09</x:v>
      </x:c>
      <x:c r="H51" s="39" t="str">
        <x:v>Ativa</x:v>
      </x:c>
      <x:c r="I51" s="39" t="str">
        <x:v>Fonte pública; verificar novamente antes de outreach.</x:v>
      </x:c>
    </x:row>
    <x:row r="52" ht="40" customHeight="1">
      <x:c r="A52" s="39" t="str">
        <x:v>SRC00051</x:v>
      </x:c>
      <x:c r="B52" s="39" t="str">
        <x:v>https://www.heartcore.com/about</x:v>
      </x:c>
      <x:c r="C52" s="39" t="str">
        <x:v>www.heartcore.com</x:v>
      </x:c>
      <x:c r="D52" s="39" t="str">
        <x:v>Tese / critérios</x:v>
      </x:c>
      <x:c r="E52" s="39" t="str">
        <x:v>Investidor</x:v>
      </x:c>
      <x:c r="F52" s="39" t="str">
        <x:v>INV026</x:v>
      </x:c>
      <x:c r="G52" s="44" t="str">
        <x:v>2026-09-09</x:v>
      </x:c>
      <x:c r="H52" s="39" t="str">
        <x:v>Ativa</x:v>
      </x:c>
      <x:c r="I52" s="39" t="str">
        <x:v>Fonte pública; verificar novamente antes de outreach.</x:v>
      </x:c>
    </x:row>
    <x:row r="53" ht="40" customHeight="1">
      <x:c r="A53" s="39" t="str">
        <x:v>SRC00052</x:v>
      </x:c>
      <x:c r="B53" s="39" t="str">
        <x:v>https://www.heartcore.com/team</x:v>
      </x:c>
      <x:c r="C53" s="39" t="str">
        <x:v>www.heartcore.com</x:v>
      </x:c>
      <x:c r="D53" s="39" t="str">
        <x:v>Equipa</x:v>
      </x:c>
      <x:c r="E53" s="39" t="str">
        <x:v>Investidor</x:v>
      </x:c>
      <x:c r="F53" s="39" t="str">
        <x:v>INV026</x:v>
      </x:c>
      <x:c r="G53" s="44" t="str">
        <x:v>2026-09-09</x:v>
      </x:c>
      <x:c r="H53" s="39" t="str">
        <x:v>Ativa</x:v>
      </x:c>
      <x:c r="I53" s="39" t="str">
        <x:v>Fonte pública; verificar novamente antes de outreach.</x:v>
      </x:c>
    </x:row>
    <x:row r="54" ht="40" customHeight="1">
      <x:c r="A54" s="39" t="str">
        <x:v>SRC00053</x:v>
      </x:c>
      <x:c r="B54" s="39" t="str">
        <x:v>https://partechpartners.com/funds</x:v>
      </x:c>
      <x:c r="C54" s="39" t="str">
        <x:v>partechpartners.com</x:v>
      </x:c>
      <x:c r="D54" s="39" t="str">
        <x:v>Tese / critérios</x:v>
      </x:c>
      <x:c r="E54" s="39" t="str">
        <x:v>Investidor</x:v>
      </x:c>
      <x:c r="F54" s="39" t="str">
        <x:v>INV027</x:v>
      </x:c>
      <x:c r="G54" s="44" t="str">
        <x:v>2026-09-09</x:v>
      </x:c>
      <x:c r="H54" s="39" t="str">
        <x:v>Ativa</x:v>
      </x:c>
      <x:c r="I54" s="39" t="str">
        <x:v>Fonte pública; verificar novamente antes de outreach.</x:v>
      </x:c>
    </x:row>
    <x:row r="55" ht="40" customHeight="1">
      <x:c r="A55" s="39" t="str">
        <x:v>SRC00054</x:v>
      </x:c>
      <x:c r="B55" s="39" t="str">
        <x:v>https://partechpartners.com/team</x:v>
      </x:c>
      <x:c r="C55" s="39" t="str">
        <x:v>partechpartners.com</x:v>
      </x:c>
      <x:c r="D55" s="39" t="str">
        <x:v>Equipa</x:v>
      </x:c>
      <x:c r="E55" s="39" t="str">
        <x:v>Investidor</x:v>
      </x:c>
      <x:c r="F55" s="39" t="str">
        <x:v>INV027</x:v>
      </x:c>
      <x:c r="G55" s="44" t="str">
        <x:v>2026-09-09</x:v>
      </x:c>
      <x:c r="H55" s="39" t="str">
        <x:v>Ativa</x:v>
      </x:c>
      <x:c r="I55" s="39" t="str">
        <x:v>Fonte pública; verificar novamente antes de outreach.</x:v>
      </x:c>
    </x:row>
    <x:row r="56" ht="40" customHeight="1">
      <x:c r="A56" s="39" t="str">
        <x:v>SRC00055</x:v>
      </x:c>
      <x:c r="B56" s="39" t="str">
        <x:v>https://www.pointnine.com/team</x:v>
      </x:c>
      <x:c r="C56" s="39" t="str">
        <x:v>www.pointnine.com</x:v>
      </x:c>
      <x:c r="D56" s="39" t="str">
        <x:v>Perfil / equipa</x:v>
      </x:c>
      <x:c r="E56" s="39" t="str">
        <x:v>Pessoa</x:v>
      </x:c>
      <x:c r="F56" s="39" t="str">
        <x:v>PER0001</x:v>
      </x:c>
      <x:c r="G56" s="44" t="str">
        <x:v>2026-09-09</x:v>
      </x:c>
      <x:c r="H56" s="39" t="str">
        <x:v>Ativa</x:v>
      </x:c>
      <x:c r="I56" s="39" t="str">
        <x:v>Fonte pública; verificar novamente antes de outreach.</x:v>
      </x:c>
    </x:row>
    <x:row r="57" ht="40" customHeight="1">
      <x:c r="A57" s="39" t="str">
        <x:v>SRC00056</x:v>
      </x:c>
      <x:c r="B57" s="39" t="str">
        <x:v>https://www.pointnine.com/team</x:v>
      </x:c>
      <x:c r="C57" s="39" t="str">
        <x:v>www.pointnine.com</x:v>
      </x:c>
      <x:c r="D57" s="39" t="str">
        <x:v>Perfil / equipa</x:v>
      </x:c>
      <x:c r="E57" s="39" t="str">
        <x:v>Pessoa</x:v>
      </x:c>
      <x:c r="F57" s="39" t="str">
        <x:v>PER0002</x:v>
      </x:c>
      <x:c r="G57" s="44" t="str">
        <x:v>2026-09-09</x:v>
      </x:c>
      <x:c r="H57" s="39" t="str">
        <x:v>Ativa</x:v>
      </x:c>
      <x:c r="I57" s="39" t="str">
        <x:v>Fonte pública; verificar novamente antes de outreach.</x:v>
      </x:c>
    </x:row>
    <x:row r="58" ht="40" customHeight="1">
      <x:c r="A58" s="39" t="str">
        <x:v>SRC00057</x:v>
      </x:c>
      <x:c r="B58" s="39" t="str">
        <x:v>https://www.pointnine.com/team</x:v>
      </x:c>
      <x:c r="C58" s="39" t="str">
        <x:v>www.pointnine.com</x:v>
      </x:c>
      <x:c r="D58" s="39" t="str">
        <x:v>Perfil / equipa</x:v>
      </x:c>
      <x:c r="E58" s="39" t="str">
        <x:v>Pessoa</x:v>
      </x:c>
      <x:c r="F58" s="39" t="str">
        <x:v>PER0003</x:v>
      </x:c>
      <x:c r="G58" s="44" t="str">
        <x:v>2026-09-09</x:v>
      </x:c>
      <x:c r="H58" s="39" t="str">
        <x:v>Ativa</x:v>
      </x:c>
      <x:c r="I58" s="39" t="str">
        <x:v>Fonte pública; verificar novamente antes de outreach.</x:v>
      </x:c>
    </x:row>
    <x:row r="59" ht="40" customHeight="1">
      <x:c r="A59" s="39" t="str">
        <x:v>SRC00058</x:v>
      </x:c>
      <x:c r="B59" s="39" t="str">
        <x:v>https://www.pointnine.com/team</x:v>
      </x:c>
      <x:c r="C59" s="39" t="str">
        <x:v>www.pointnine.com</x:v>
      </x:c>
      <x:c r="D59" s="39" t="str">
        <x:v>Perfil / equipa</x:v>
      </x:c>
      <x:c r="E59" s="39" t="str">
        <x:v>Pessoa</x:v>
      </x:c>
      <x:c r="F59" s="39" t="str">
        <x:v>PER0004</x:v>
      </x:c>
      <x:c r="G59" s="44" t="str">
        <x:v>2026-09-09</x:v>
      </x:c>
      <x:c r="H59" s="39" t="str">
        <x:v>Ativa</x:v>
      </x:c>
      <x:c r="I59" s="39" t="str">
        <x:v>Fonte pública; verificar novamente antes de outreach.</x:v>
      </x:c>
    </x:row>
    <x:row r="60" ht="40" customHeight="1">
      <x:c r="A60" s="39" t="str">
        <x:v>SRC00059</x:v>
      </x:c>
      <x:c r="B60" s="39" t="str">
        <x:v>https://seedcamp.com/people/reshma-sohoni/</x:v>
      </x:c>
      <x:c r="C60" s="39" t="str">
        <x:v>seedcamp.com</x:v>
      </x:c>
      <x:c r="D60" s="39" t="str">
        <x:v>Perfil / equipa</x:v>
      </x:c>
      <x:c r="E60" s="39" t="str">
        <x:v>Pessoa</x:v>
      </x:c>
      <x:c r="F60" s="39" t="str">
        <x:v>PER0005</x:v>
      </x:c>
      <x:c r="G60" s="44" t="str">
        <x:v>2026-09-09</x:v>
      </x:c>
      <x:c r="H60" s="39" t="str">
        <x:v>Ativa</x:v>
      </x:c>
      <x:c r="I60" s="39" t="str">
        <x:v>Fonte pública; verificar novamente antes de outreach.</x:v>
      </x:c>
    </x:row>
    <x:row r="61" ht="40" customHeight="1">
      <x:c r="A61" s="39" t="str">
        <x:v>SRC00060</x:v>
      </x:c>
      <x:c r="B61" s="39" t="str">
        <x:v>https://seedcamp.com/people/carlos-eduardo-espinal/</x:v>
      </x:c>
      <x:c r="C61" s="39" t="str">
        <x:v>seedcamp.com</x:v>
      </x:c>
      <x:c r="D61" s="39" t="str">
        <x:v>Perfil / equipa</x:v>
      </x:c>
      <x:c r="E61" s="39" t="str">
        <x:v>Pessoa</x:v>
      </x:c>
      <x:c r="F61" s="39" t="str">
        <x:v>PER0006</x:v>
      </x:c>
      <x:c r="G61" s="44" t="str">
        <x:v>2026-09-09</x:v>
      </x:c>
      <x:c r="H61" s="39" t="str">
        <x:v>Ativa</x:v>
      </x:c>
      <x:c r="I61" s="39" t="str">
        <x:v>Fonte pública; verificar novamente antes de outreach.</x:v>
      </x:c>
    </x:row>
    <x:row r="62" ht="40" customHeight="1">
      <x:c r="A62" s="39" t="str">
        <x:v>SRC00061</x:v>
      </x:c>
      <x:c r="B62" s="39" t="str">
        <x:v>https://seedcamp.com/our-team/</x:v>
      </x:c>
      <x:c r="C62" s="39" t="str">
        <x:v>seedcamp.com</x:v>
      </x:c>
      <x:c r="D62" s="39" t="str">
        <x:v>Perfil / equipa</x:v>
      </x:c>
      <x:c r="E62" s="39" t="str">
        <x:v>Pessoa</x:v>
      </x:c>
      <x:c r="F62" s="39" t="str">
        <x:v>PER0007</x:v>
      </x:c>
      <x:c r="G62" s="44" t="str">
        <x:v>2026-09-09</x:v>
      </x:c>
      <x:c r="H62" s="39" t="str">
        <x:v>Ativa</x:v>
      </x:c>
      <x:c r="I62" s="39" t="str">
        <x:v>Fonte pública; verificar novamente antes de outreach.</x:v>
      </x:c>
    </x:row>
    <x:row r="63" ht="40" customHeight="1">
      <x:c r="A63" s="39" t="str">
        <x:v>SRC00062</x:v>
      </x:c>
      <x:c r="B63" s="39" t="str">
        <x:v>https://seedcamp.com/our-team/</x:v>
      </x:c>
      <x:c r="C63" s="39" t="str">
        <x:v>seedcamp.com</x:v>
      </x:c>
      <x:c r="D63" s="39" t="str">
        <x:v>Perfil / equipa</x:v>
      </x:c>
      <x:c r="E63" s="39" t="str">
        <x:v>Pessoa</x:v>
      </x:c>
      <x:c r="F63" s="39" t="str">
        <x:v>PER0008</x:v>
      </x:c>
      <x:c r="G63" s="44" t="str">
        <x:v>2026-09-09</x:v>
      </x:c>
      <x:c r="H63" s="39" t="str">
        <x:v>Ativa</x:v>
      </x:c>
      <x:c r="I63" s="39" t="str">
        <x:v>Fonte pública; verificar novamente antes de outreach.</x:v>
      </x:c>
    </x:row>
    <x:row r="64" ht="40" customHeight="1">
      <x:c r="A64" s="39" t="str">
        <x:v>SRC00063</x:v>
      </x:c>
      <x:c r="B64" s="39" t="str">
        <x:v>https://www.jme.vc/</x:v>
      </x:c>
      <x:c r="C64" s="39" t="str">
        <x:v>www.jme.vc</x:v>
      </x:c>
      <x:c r="D64" s="39" t="str">
        <x:v>Perfil / equipa</x:v>
      </x:c>
      <x:c r="E64" s="39" t="str">
        <x:v>Pessoa</x:v>
      </x:c>
      <x:c r="F64" s="39" t="str">
        <x:v>PER0009</x:v>
      </x:c>
      <x:c r="G64" s="44" t="str">
        <x:v>2026-09-09</x:v>
      </x:c>
      <x:c r="H64" s="39" t="str">
        <x:v>Ativa</x:v>
      </x:c>
      <x:c r="I64" s="39" t="str">
        <x:v>Fonte pública; verificar novamente antes de outreach.</x:v>
      </x:c>
    </x:row>
    <x:row r="65" ht="40" customHeight="1">
      <x:c r="A65" s="39" t="str">
        <x:v>SRC00064</x:v>
      </x:c>
      <x:c r="B65" s="39" t="str">
        <x:v>https://www.jme.vc/</x:v>
      </x:c>
      <x:c r="C65" s="39" t="str">
        <x:v>www.jme.vc</x:v>
      </x:c>
      <x:c r="D65" s="39" t="str">
        <x:v>Perfil / equipa</x:v>
      </x:c>
      <x:c r="E65" s="39" t="str">
        <x:v>Pessoa</x:v>
      </x:c>
      <x:c r="F65" s="39" t="str">
        <x:v>PER0010</x:v>
      </x:c>
      <x:c r="G65" s="44" t="str">
        <x:v>2026-09-09</x:v>
      </x:c>
      <x:c r="H65" s="39" t="str">
        <x:v>Ativa</x:v>
      </x:c>
      <x:c r="I65" s="39" t="str">
        <x:v>Fonte pública; verificar novamente antes de outreach.</x:v>
      </x:c>
    </x:row>
    <x:row r="66" ht="40" customHeight="1">
      <x:c r="A66" s="39" t="str">
        <x:v>SRC00065</x:v>
      </x:c>
      <x:c r="B66" s="39" t="str">
        <x:v>https://www.jme.vc/</x:v>
      </x:c>
      <x:c r="C66" s="39" t="str">
        <x:v>www.jme.vc</x:v>
      </x:c>
      <x:c r="D66" s="39" t="str">
        <x:v>Perfil / equipa</x:v>
      </x:c>
      <x:c r="E66" s="39" t="str">
        <x:v>Pessoa</x:v>
      </x:c>
      <x:c r="F66" s="39" t="str">
        <x:v>PER0011</x:v>
      </x:c>
      <x:c r="G66" s="44" t="str">
        <x:v>2026-09-09</x:v>
      </x:c>
      <x:c r="H66" s="39" t="str">
        <x:v>Ativa</x:v>
      </x:c>
      <x:c r="I66" s="39" t="str">
        <x:v>Fonte pública; verificar novamente antes de outreach.</x:v>
      </x:c>
    </x:row>
    <x:row r="67" ht="40" customHeight="1">
      <x:c r="A67" s="39" t="str">
        <x:v>SRC00066</x:v>
      </x:c>
      <x:c r="B67" s="39" t="str">
        <x:v>https://www.picuscap.com/team/</x:v>
      </x:c>
      <x:c r="C67" s="39" t="str">
        <x:v>www.picuscap.com</x:v>
      </x:c>
      <x:c r="D67" s="39" t="str">
        <x:v>Perfil / equipa</x:v>
      </x:c>
      <x:c r="E67" s="39" t="str">
        <x:v>Pessoa</x:v>
      </x:c>
      <x:c r="F67" s="39" t="str">
        <x:v>PER0012</x:v>
      </x:c>
      <x:c r="G67" s="44" t="str">
        <x:v>2026-09-09</x:v>
      </x:c>
      <x:c r="H67" s="39" t="str">
        <x:v>Ativa</x:v>
      </x:c>
      <x:c r="I67" s="39" t="str">
        <x:v>Fonte pública; verificar novamente antes de outreach.</x:v>
      </x:c>
    </x:row>
    <x:row r="68" ht="40" customHeight="1">
      <x:c r="A68" s="39" t="str">
        <x:v>SRC00067</x:v>
      </x:c>
      <x:c r="B68" s="39" t="str">
        <x:v>https://www.picuscap.com/team/</x:v>
      </x:c>
      <x:c r="C68" s="39" t="str">
        <x:v>www.picuscap.com</x:v>
      </x:c>
      <x:c r="D68" s="39" t="str">
        <x:v>Perfil / equipa</x:v>
      </x:c>
      <x:c r="E68" s="39" t="str">
        <x:v>Pessoa</x:v>
      </x:c>
      <x:c r="F68" s="39" t="str">
        <x:v>PER0013</x:v>
      </x:c>
      <x:c r="G68" s="44" t="str">
        <x:v>2026-09-09</x:v>
      </x:c>
      <x:c r="H68" s="39" t="str">
        <x:v>Ativa</x:v>
      </x:c>
      <x:c r="I68" s="39" t="str">
        <x:v>Fonte pública; verificar novamente antes de outreach.</x:v>
      </x:c>
    </x:row>
    <x:row r="69" ht="40" customHeight="1">
      <x:c r="A69" s="39" t="str">
        <x:v>SRC00068</x:v>
      </x:c>
      <x:c r="B69" s="39" t="str">
        <x:v>https://www.picuscap.com/team/</x:v>
      </x:c>
      <x:c r="C69" s="39" t="str">
        <x:v>www.picuscap.com</x:v>
      </x:c>
      <x:c r="D69" s="39" t="str">
        <x:v>Perfil / equipa</x:v>
      </x:c>
      <x:c r="E69" s="39" t="str">
        <x:v>Pessoa</x:v>
      </x:c>
      <x:c r="F69" s="39" t="str">
        <x:v>PER0014</x:v>
      </x:c>
      <x:c r="G69" s="44" t="str">
        <x:v>2026-09-09</x:v>
      </x:c>
      <x:c r="H69" s="39" t="str">
        <x:v>Ativa</x:v>
      </x:c>
      <x:c r="I69" s="39" t="str">
        <x:v>Fonte pública; verificar novamente antes de outreach.</x:v>
      </x:c>
    </x:row>
    <x:row r="70" ht="40" customHeight="1">
      <x:c r="A70" s="39" t="str">
        <x:v>SRC00069</x:v>
      </x:c>
      <x:c r="B70" s="39" t="str">
        <x:v>https://www.picuscap.com/team/</x:v>
      </x:c>
      <x:c r="C70" s="39" t="str">
        <x:v>www.picuscap.com</x:v>
      </x:c>
      <x:c r="D70" s="39" t="str">
        <x:v>Perfil / equipa</x:v>
      </x:c>
      <x:c r="E70" s="39" t="str">
        <x:v>Pessoa</x:v>
      </x:c>
      <x:c r="F70" s="39" t="str">
        <x:v>PER0015</x:v>
      </x:c>
      <x:c r="G70" s="44" t="str">
        <x:v>2026-09-09</x:v>
      </x:c>
      <x:c r="H70" s="39" t="str">
        <x:v>Ativa</x:v>
      </x:c>
      <x:c r="I70" s="39" t="str">
        <x:v>Fonte pública; verificar novamente antes de outreach.</x:v>
      </x:c>
    </x:row>
    <x:row r="71" ht="40" customHeight="1">
      <x:c r="A71" s="39" t="str">
        <x:v>SRC00070</x:v>
      </x:c>
      <x:c r="B71" s="39" t="str">
        <x:v>https://www.picuscap.com/team/</x:v>
      </x:c>
      <x:c r="C71" s="39" t="str">
        <x:v>www.picuscap.com</x:v>
      </x:c>
      <x:c r="D71" s="39" t="str">
        <x:v>Perfil / equipa</x:v>
      </x:c>
      <x:c r="E71" s="39" t="str">
        <x:v>Pessoa</x:v>
      </x:c>
      <x:c r="F71" s="39" t="str">
        <x:v>PER0016</x:v>
      </x:c>
      <x:c r="G71" s="44" t="str">
        <x:v>2026-09-09</x:v>
      </x:c>
      <x:c r="H71" s="39" t="str">
        <x:v>Ativa</x:v>
      </x:c>
      <x:c r="I71" s="39" t="str">
        <x:v>Fonte pública; verificar novamente antes de outreach.</x:v>
      </x:c>
    </x:row>
    <x:row r="72" ht="40" customHeight="1">
      <x:c r="A72" s="39" t="str">
        <x:v>SRC00071</x:v>
      </x:c>
      <x:c r="B72" s="39" t="str">
        <x:v>https://www.picuscap.com/team/</x:v>
      </x:c>
      <x:c r="C72" s="39" t="str">
        <x:v>www.picuscap.com</x:v>
      </x:c>
      <x:c r="D72" s="39" t="str">
        <x:v>Perfil / equipa</x:v>
      </x:c>
      <x:c r="E72" s="39" t="str">
        <x:v>Pessoa</x:v>
      </x:c>
      <x:c r="F72" s="39" t="str">
        <x:v>PER0017</x:v>
      </x:c>
      <x:c r="G72" s="44" t="str">
        <x:v>2026-09-09</x:v>
      </x:c>
      <x:c r="H72" s="39" t="str">
        <x:v>Ativa</x:v>
      </x:c>
      <x:c r="I72" s="39" t="str">
        <x:v>Fonte pública; verificar novamente antes de outreach.</x:v>
      </x:c>
    </x:row>
    <x:row r="73" ht="40" customHeight="1">
      <x:c r="A73" s="39" t="str">
        <x:v>SRC00072</x:v>
      </x:c>
      <x:c r="B73" s="39" t="str">
        <x:v>https://www.picuscap.com/team/</x:v>
      </x:c>
      <x:c r="C73" s="39" t="str">
        <x:v>www.picuscap.com</x:v>
      </x:c>
      <x:c r="D73" s="39" t="str">
        <x:v>Perfil / equipa</x:v>
      </x:c>
      <x:c r="E73" s="39" t="str">
        <x:v>Pessoa</x:v>
      </x:c>
      <x:c r="F73" s="39" t="str">
        <x:v>PER0018</x:v>
      </x:c>
      <x:c r="G73" s="44" t="str">
        <x:v>2026-09-09</x:v>
      </x:c>
      <x:c r="H73" s="39" t="str">
        <x:v>Ativa</x:v>
      </x:c>
      <x:c r="I73" s="39" t="str">
        <x:v>Fonte pública; verificar novamente antes de outreach.</x:v>
      </x:c>
    </x:row>
    <x:row r="74" ht="40" customHeight="1">
      <x:c r="A74" s="39" t="str">
        <x:v>SRC00073</x:v>
      </x:c>
      <x:c r="B74" s="39" t="str">
        <x:v>https://www.speedinvest.com/team</x:v>
      </x:c>
      <x:c r="C74" s="39" t="str">
        <x:v>www.speedinvest.com</x:v>
      </x:c>
      <x:c r="D74" s="39" t="str">
        <x:v>Perfil / equipa</x:v>
      </x:c>
      <x:c r="E74" s="39" t="str">
        <x:v>Pessoa</x:v>
      </x:c>
      <x:c r="F74" s="39" t="str">
        <x:v>PER0019</x:v>
      </x:c>
      <x:c r="G74" s="44" t="str">
        <x:v>2026-09-09</x:v>
      </x:c>
      <x:c r="H74" s="39" t="str">
        <x:v>Ativa</x:v>
      </x:c>
      <x:c r="I74" s="39" t="str">
        <x:v>Fonte pública; verificar novamente antes de outreach.</x:v>
      </x:c>
    </x:row>
    <x:row r="75" ht="40" customHeight="1">
      <x:c r="A75" s="39" t="str">
        <x:v>SRC00074</x:v>
      </x:c>
      <x:c r="B75" s="39" t="str">
        <x:v>https://www.speedinvest.com/team</x:v>
      </x:c>
      <x:c r="C75" s="39" t="str">
        <x:v>www.speedinvest.com</x:v>
      </x:c>
      <x:c r="D75" s="39" t="str">
        <x:v>Perfil / equipa</x:v>
      </x:c>
      <x:c r="E75" s="39" t="str">
        <x:v>Pessoa</x:v>
      </x:c>
      <x:c r="F75" s="39" t="str">
        <x:v>PER0020</x:v>
      </x:c>
      <x:c r="G75" s="44" t="str">
        <x:v>2026-09-09</x:v>
      </x:c>
      <x:c r="H75" s="39" t="str">
        <x:v>Ativa</x:v>
      </x:c>
      <x:c r="I75" s="39" t="str">
        <x:v>Fonte pública; verificar novamente antes de outreach.</x:v>
      </x:c>
    </x:row>
    <x:row r="76" ht="40" customHeight="1">
      <x:c r="A76" s="39" t="str">
        <x:v>SRC00075</x:v>
      </x:c>
      <x:c r="B76" s="39" t="str">
        <x:v>https://www.speedinvest.com/team</x:v>
      </x:c>
      <x:c r="C76" s="39" t="str">
        <x:v>www.speedinvest.com</x:v>
      </x:c>
      <x:c r="D76" s="39" t="str">
        <x:v>Perfil / equipa</x:v>
      </x:c>
      <x:c r="E76" s="39" t="str">
        <x:v>Pessoa</x:v>
      </x:c>
      <x:c r="F76" s="39" t="str">
        <x:v>PER0021</x:v>
      </x:c>
      <x:c r="G76" s="44" t="str">
        <x:v>2026-09-09</x:v>
      </x:c>
      <x:c r="H76" s="39" t="str">
        <x:v>Ativa</x:v>
      </x:c>
      <x:c r="I76" s="39" t="str">
        <x:v>Fonte pública; verificar novamente antes de outreach.</x:v>
      </x:c>
    </x:row>
    <x:row r="77" ht="40" customHeight="1">
      <x:c r="A77" s="39" t="str">
        <x:v>SRC00076</x:v>
      </x:c>
      <x:c r="B77" s="39" t="str">
        <x:v>https://www.speedinvest.com/team</x:v>
      </x:c>
      <x:c r="C77" s="39" t="str">
        <x:v>www.speedinvest.com</x:v>
      </x:c>
      <x:c r="D77" s="39" t="str">
        <x:v>Perfil / equipa</x:v>
      </x:c>
      <x:c r="E77" s="39" t="str">
        <x:v>Pessoa</x:v>
      </x:c>
      <x:c r="F77" s="39" t="str">
        <x:v>PER0022</x:v>
      </x:c>
      <x:c r="G77" s="44" t="str">
        <x:v>2026-09-09</x:v>
      </x:c>
      <x:c r="H77" s="39" t="str">
        <x:v>Ativa</x:v>
      </x:c>
      <x:c r="I77" s="39" t="str">
        <x:v>Fonte pública; verificar novamente antes de outreach.</x:v>
      </x:c>
    </x:row>
    <x:row r="78" ht="40" customHeight="1">
      <x:c r="A78" s="39" t="str">
        <x:v>SRC00077</x:v>
      </x:c>
      <x:c r="B78" s="39" t="str">
        <x:v>https://www.speedinvest.com/team</x:v>
      </x:c>
      <x:c r="C78" s="39" t="str">
        <x:v>www.speedinvest.com</x:v>
      </x:c>
      <x:c r="D78" s="39" t="str">
        <x:v>Perfil / equipa</x:v>
      </x:c>
      <x:c r="E78" s="39" t="str">
        <x:v>Pessoa</x:v>
      </x:c>
      <x:c r="F78" s="39" t="str">
        <x:v>PER0023</x:v>
      </x:c>
      <x:c r="G78" s="44" t="str">
        <x:v>2026-09-09</x:v>
      </x:c>
      <x:c r="H78" s="39" t="str">
        <x:v>Ativa</x:v>
      </x:c>
      <x:c r="I78" s="39" t="str">
        <x:v>Fonte pública; verificar novamente antes de outreach.</x:v>
      </x:c>
    </x:row>
    <x:row r="79" ht="40" customHeight="1">
      <x:c r="A79" s="39" t="str">
        <x:v>SRC00078</x:v>
      </x:c>
      <x:c r="B79" s="39" t="str">
        <x:v>https://www.speedinvest.com/team</x:v>
      </x:c>
      <x:c r="C79" s="39" t="str">
        <x:v>www.speedinvest.com</x:v>
      </x:c>
      <x:c r="D79" s="39" t="str">
        <x:v>Perfil / equipa</x:v>
      </x:c>
      <x:c r="E79" s="39" t="str">
        <x:v>Pessoa</x:v>
      </x:c>
      <x:c r="F79" s="39" t="str">
        <x:v>PER0024</x:v>
      </x:c>
      <x:c r="G79" s="44" t="str">
        <x:v>2026-09-09</x:v>
      </x:c>
      <x:c r="H79" s="39" t="str">
        <x:v>Ativa</x:v>
      </x:c>
      <x:c r="I79" s="39" t="str">
        <x:v>Fonte pública; verificar novamente antes de outreach.</x:v>
      </x:c>
    </x:row>
    <x:row r="80" ht="40" customHeight="1">
      <x:c r="A80" s="39" t="str">
        <x:v>SRC00079</x:v>
      </x:c>
      <x:c r="B80" s="39" t="str">
        <x:v>https://www.speedinvest.com/team</x:v>
      </x:c>
      <x:c r="C80" s="39" t="str">
        <x:v>www.speedinvest.com</x:v>
      </x:c>
      <x:c r="D80" s="39" t="str">
        <x:v>Perfil / equipa</x:v>
      </x:c>
      <x:c r="E80" s="39" t="str">
        <x:v>Pessoa</x:v>
      </x:c>
      <x:c r="F80" s="39" t="str">
        <x:v>PER0025</x:v>
      </x:c>
      <x:c r="G80" s="44" t="str">
        <x:v>2026-09-09</x:v>
      </x:c>
      <x:c r="H80" s="39" t="str">
        <x:v>Ativa</x:v>
      </x:c>
      <x:c r="I80" s="39" t="str">
        <x:v>Fonte pública; verificar novamente antes de outreach.</x:v>
      </x:c>
    </x:row>
    <x:row r="81" ht="40" customHeight="1">
      <x:c r="A81" s="39" t="str">
        <x:v>SRC00080</x:v>
      </x:c>
      <x:c r="B81" s="39" t="str">
        <x:v>https://www.speedinvest.com/team</x:v>
      </x:c>
      <x:c r="C81" s="39" t="str">
        <x:v>www.speedinvest.com</x:v>
      </x:c>
      <x:c r="D81" s="39" t="str">
        <x:v>Perfil / equipa</x:v>
      </x:c>
      <x:c r="E81" s="39" t="str">
        <x:v>Pessoa</x:v>
      </x:c>
      <x:c r="F81" s="39" t="str">
        <x:v>PER0026</x:v>
      </x:c>
      <x:c r="G81" s="44" t="str">
        <x:v>2026-09-09</x:v>
      </x:c>
      <x:c r="H81" s="39" t="str">
        <x:v>Ativa</x:v>
      </x:c>
      <x:c r="I81" s="39" t="str">
        <x:v>Fonte pública; verificar novamente antes de outreach.</x:v>
      </x:c>
    </x:row>
    <x:row r="82" ht="40" customHeight="1">
      <x:c r="A82" s="39" t="str">
        <x:v>SRC00081</x:v>
      </x:c>
      <x:c r="B82" s="39" t="str">
        <x:v>https://www.speedinvest.com/team</x:v>
      </x:c>
      <x:c r="C82" s="39" t="str">
        <x:v>www.speedinvest.com</x:v>
      </x:c>
      <x:c r="D82" s="39" t="str">
        <x:v>Perfil / equipa</x:v>
      </x:c>
      <x:c r="E82" s="39" t="str">
        <x:v>Pessoa</x:v>
      </x:c>
      <x:c r="F82" s="39" t="str">
        <x:v>PER0027</x:v>
      </x:c>
      <x:c r="G82" s="44" t="str">
        <x:v>2026-09-09</x:v>
      </x:c>
      <x:c r="H82" s="39" t="str">
        <x:v>Ativa</x:v>
      </x:c>
      <x:c r="I82" s="39" t="str">
        <x:v>Fonte pública; verificar novamente antes de outreach.</x:v>
      </x:c>
    </x:row>
    <x:row r="83" ht="40" customHeight="1">
      <x:c r="A83" s="39" t="str">
        <x:v>SRC00082</x:v>
      </x:c>
      <x:c r="B83" s="39" t="str">
        <x:v>https://www.speedinvest.com/team</x:v>
      </x:c>
      <x:c r="C83" s="39" t="str">
        <x:v>www.speedinvest.com</x:v>
      </x:c>
      <x:c r="D83" s="39" t="str">
        <x:v>Perfil / equipa</x:v>
      </x:c>
      <x:c r="E83" s="39" t="str">
        <x:v>Pessoa</x:v>
      </x:c>
      <x:c r="F83" s="39" t="str">
        <x:v>PER0028</x:v>
      </x:c>
      <x:c r="G83" s="44" t="str">
        <x:v>2026-09-09</x:v>
      </x:c>
      <x:c r="H83" s="39" t="str">
        <x:v>Ativa</x:v>
      </x:c>
      <x:c r="I83" s="39" t="str">
        <x:v>Fonte pública; verificar novamente antes de outreach.</x:v>
      </x:c>
    </x:row>
    <x:row r="84" ht="40" customHeight="1">
      <x:c r="A84" s="39" t="str">
        <x:v>SRC00083</x:v>
      </x:c>
      <x:c r="B84" s="39" t="str">
        <x:v>https://www.speedinvest.com/team</x:v>
      </x:c>
      <x:c r="C84" s="39" t="str">
        <x:v>www.speedinvest.com</x:v>
      </x:c>
      <x:c r="D84" s="39" t="str">
        <x:v>Perfil / equipa</x:v>
      </x:c>
      <x:c r="E84" s="39" t="str">
        <x:v>Pessoa</x:v>
      </x:c>
      <x:c r="F84" s="39" t="str">
        <x:v>PER0029</x:v>
      </x:c>
      <x:c r="G84" s="44" t="str">
        <x:v>2026-09-09</x:v>
      </x:c>
      <x:c r="H84" s="39" t="str">
        <x:v>Ativa</x:v>
      </x:c>
      <x:c r="I84" s="39" t="str">
        <x:v>Fonte pública; verificar novamente antes de outreach.</x:v>
      </x:c>
    </x:row>
    <x:row r="85" ht="40" customHeight="1">
      <x:c r="A85" s="39" t="str">
        <x:v>SRC00084</x:v>
      </x:c>
      <x:c r="B85" s="39" t="str">
        <x:v>https://www.speedinvest.com/team</x:v>
      </x:c>
      <x:c r="C85" s="39" t="str">
        <x:v>www.speedinvest.com</x:v>
      </x:c>
      <x:c r="D85" s="39" t="str">
        <x:v>Perfil / equipa</x:v>
      </x:c>
      <x:c r="E85" s="39" t="str">
        <x:v>Pessoa</x:v>
      </x:c>
      <x:c r="F85" s="39" t="str">
        <x:v>PER0030</x:v>
      </x:c>
      <x:c r="G85" s="44" t="str">
        <x:v>2026-09-09</x:v>
      </x:c>
      <x:c r="H85" s="39" t="str">
        <x:v>Ativa</x:v>
      </x:c>
      <x:c r="I85" s="39" t="str">
        <x:v>Fonte pública; verificar novamente antes de outreach.</x:v>
      </x:c>
    </x:row>
    <x:row r="86" ht="40" customHeight="1">
      <x:c r="A86" s="39" t="str">
        <x:v>SRC00085</x:v>
      </x:c>
      <x:c r="B86" s="39" t="str">
        <x:v>https://www.indexventures.com/team/</x:v>
      </x:c>
      <x:c r="C86" s="39" t="str">
        <x:v>www.indexventures.com</x:v>
      </x:c>
      <x:c r="D86" s="39" t="str">
        <x:v>Perfil / equipa</x:v>
      </x:c>
      <x:c r="E86" s="39" t="str">
        <x:v>Pessoa</x:v>
      </x:c>
      <x:c r="F86" s="39" t="str">
        <x:v>PER0031</x:v>
      </x:c>
      <x:c r="G86" s="44" t="str">
        <x:v>2026-09-09</x:v>
      </x:c>
      <x:c r="H86" s="39" t="str">
        <x:v>Ativa</x:v>
      </x:c>
      <x:c r="I86" s="39" t="str">
        <x:v>Fonte pública; verificar novamente antes de outreach.</x:v>
      </x:c>
    </x:row>
    <x:row r="87" ht="40" customHeight="1">
      <x:c r="A87" s="39" t="str">
        <x:v>SRC00086</x:v>
      </x:c>
      <x:c r="B87" s="39" t="str">
        <x:v>https://www.indexventures.com/team/</x:v>
      </x:c>
      <x:c r="C87" s="39" t="str">
        <x:v>www.indexventures.com</x:v>
      </x:c>
      <x:c r="D87" s="39" t="str">
        <x:v>Perfil / equipa</x:v>
      </x:c>
      <x:c r="E87" s="39" t="str">
        <x:v>Pessoa</x:v>
      </x:c>
      <x:c r="F87" s="39" t="str">
        <x:v>PER0032</x:v>
      </x:c>
      <x:c r="G87" s="44" t="str">
        <x:v>2026-09-09</x:v>
      </x:c>
      <x:c r="H87" s="39" t="str">
        <x:v>Ativa</x:v>
      </x:c>
      <x:c r="I87" s="39" t="str">
        <x:v>Fonte pública; verificar novamente antes de outreach.</x:v>
      </x:c>
    </x:row>
    <x:row r="88" ht="40" customHeight="1">
      <x:c r="A88" s="39" t="str">
        <x:v>SRC00087</x:v>
      </x:c>
      <x:c r="B88" s="39" t="str">
        <x:v>https://www.indexventures.com/team/</x:v>
      </x:c>
      <x:c r="C88" s="39" t="str">
        <x:v>www.indexventures.com</x:v>
      </x:c>
      <x:c r="D88" s="39" t="str">
        <x:v>Perfil / equipa</x:v>
      </x:c>
      <x:c r="E88" s="39" t="str">
        <x:v>Pessoa</x:v>
      </x:c>
      <x:c r="F88" s="39" t="str">
        <x:v>PER0033</x:v>
      </x:c>
      <x:c r="G88" s="44" t="str">
        <x:v>2026-09-09</x:v>
      </x:c>
      <x:c r="H88" s="39" t="str">
        <x:v>Ativa</x:v>
      </x:c>
      <x:c r="I88" s="39" t="str">
        <x:v>Fonte pública; verificar novamente antes de outreach.</x:v>
      </x:c>
    </x:row>
    <x:row r="89" ht="40" customHeight="1">
      <x:c r="A89" s="39" t="str">
        <x:v>SRC00088</x:v>
      </x:c>
      <x:c r="B89" s="39" t="str">
        <x:v>https://www.indexventures.com/team/</x:v>
      </x:c>
      <x:c r="C89" s="39" t="str">
        <x:v>www.indexventures.com</x:v>
      </x:c>
      <x:c r="D89" s="39" t="str">
        <x:v>Perfil / equipa</x:v>
      </x:c>
      <x:c r="E89" s="39" t="str">
        <x:v>Pessoa</x:v>
      </x:c>
      <x:c r="F89" s="39" t="str">
        <x:v>PER0034</x:v>
      </x:c>
      <x:c r="G89" s="44" t="str">
        <x:v>2026-09-09</x:v>
      </x:c>
      <x:c r="H89" s="39" t="str">
        <x:v>Ativa</x:v>
      </x:c>
      <x:c r="I89" s="39" t="str">
        <x:v>Fonte pública; verificar novamente antes de outreach.</x:v>
      </x:c>
    </x:row>
    <x:row r="90" ht="40" customHeight="1">
      <x:c r="A90" s="39" t="str">
        <x:v>SRC00089</x:v>
      </x:c>
      <x:c r="B90" s="39" t="str">
        <x:v>https://www.indexventures.com/team/</x:v>
      </x:c>
      <x:c r="C90" s="39" t="str">
        <x:v>www.indexventures.com</x:v>
      </x:c>
      <x:c r="D90" s="39" t="str">
        <x:v>Perfil / equipa</x:v>
      </x:c>
      <x:c r="E90" s="39" t="str">
        <x:v>Pessoa</x:v>
      </x:c>
      <x:c r="F90" s="39" t="str">
        <x:v>PER0035</x:v>
      </x:c>
      <x:c r="G90" s="44" t="str">
        <x:v>2026-09-09</x:v>
      </x:c>
      <x:c r="H90" s="39" t="str">
        <x:v>Ativa</x:v>
      </x:c>
      <x:c r="I90" s="39" t="str">
        <x:v>Fonte pública; verificar novamente antes de outreach.</x:v>
      </x:c>
    </x:row>
    <x:row r="91" ht="40" customHeight="1">
      <x:c r="A91" s="39" t="str">
        <x:v>SRC00090</x:v>
      </x:c>
      <x:c r="B91" s="39" t="str">
        <x:v>https://www.indexventures.com/team/</x:v>
      </x:c>
      <x:c r="C91" s="39" t="str">
        <x:v>www.indexventures.com</x:v>
      </x:c>
      <x:c r="D91" s="39" t="str">
        <x:v>Perfil / equipa</x:v>
      </x:c>
      <x:c r="E91" s="39" t="str">
        <x:v>Pessoa</x:v>
      </x:c>
      <x:c r="F91" s="39" t="str">
        <x:v>PER0036</x:v>
      </x:c>
      <x:c r="G91" s="44" t="str">
        <x:v>2026-09-09</x:v>
      </x:c>
      <x:c r="H91" s="39" t="str">
        <x:v>Ativa</x:v>
      </x:c>
      <x:c r="I91" s="39" t="str">
        <x:v>Fonte pública; verificar novamente antes de outreach.</x:v>
      </x:c>
    </x:row>
    <x:row r="92" ht="40" customHeight="1">
      <x:c r="A92" s="39" t="str">
        <x:v>SRC00091</x:v>
      </x:c>
      <x:c r="B92" s="39" t="str">
        <x:v>https://www.indexventures.com/team/</x:v>
      </x:c>
      <x:c r="C92" s="39" t="str">
        <x:v>www.indexventures.com</x:v>
      </x:c>
      <x:c r="D92" s="39" t="str">
        <x:v>Perfil / equipa</x:v>
      </x:c>
      <x:c r="E92" s="39" t="str">
        <x:v>Pessoa</x:v>
      </x:c>
      <x:c r="F92" s="39" t="str">
        <x:v>PER0037</x:v>
      </x:c>
      <x:c r="G92" s="44" t="str">
        <x:v>2026-09-09</x:v>
      </x:c>
      <x:c r="H92" s="39" t="str">
        <x:v>Ativa</x:v>
      </x:c>
      <x:c r="I92" s="39" t="str">
        <x:v>Fonte pública; verificar novamente antes de outreach.</x:v>
      </x:c>
    </x:row>
    <x:row r="93" ht="40" customHeight="1">
      <x:c r="A93" s="39" t="str">
        <x:v>SRC00092</x:v>
      </x:c>
      <x:c r="B93" s="39" t="str">
        <x:v>https://www.indexventures.com/team/</x:v>
      </x:c>
      <x:c r="C93" s="39" t="str">
        <x:v>www.indexventures.com</x:v>
      </x:c>
      <x:c r="D93" s="39" t="str">
        <x:v>Perfil / equipa</x:v>
      </x:c>
      <x:c r="E93" s="39" t="str">
        <x:v>Pessoa</x:v>
      </x:c>
      <x:c r="F93" s="39" t="str">
        <x:v>PER0038</x:v>
      </x:c>
      <x:c r="G93" s="44" t="str">
        <x:v>2026-09-09</x:v>
      </x:c>
      <x:c r="H93" s="39" t="str">
        <x:v>Ativa</x:v>
      </x:c>
      <x:c r="I93" s="39" t="str">
        <x:v>Fonte pública; verificar novamente antes de outreach.</x:v>
      </x:c>
    </x:row>
    <x:row r="94" ht="40" customHeight="1">
      <x:c r="A94" s="39" t="str">
        <x:v>SRC00093</x:v>
      </x:c>
      <x:c r="B94" s="39" t="str">
        <x:v>https://www.indexventures.com/team/</x:v>
      </x:c>
      <x:c r="C94" s="39" t="str">
        <x:v>www.indexventures.com</x:v>
      </x:c>
      <x:c r="D94" s="39" t="str">
        <x:v>Perfil / equipa</x:v>
      </x:c>
      <x:c r="E94" s="39" t="str">
        <x:v>Pessoa</x:v>
      </x:c>
      <x:c r="F94" s="39" t="str">
        <x:v>PER0039</x:v>
      </x:c>
      <x:c r="G94" s="44" t="str">
        <x:v>2026-09-09</x:v>
      </x:c>
      <x:c r="H94" s="39" t="str">
        <x:v>Ativa</x:v>
      </x:c>
      <x:c r="I94" s="39" t="str">
        <x:v>Fonte pública; verificar novamente antes de outreach.</x:v>
      </x:c>
    </x:row>
    <x:row r="95" ht="40" customHeight="1">
      <x:c r="A95" s="39" t="str">
        <x:v>SRC00094</x:v>
      </x:c>
      <x:c r="B95" s="39" t="str">
        <x:v>https://www.indexventures.com/team/</x:v>
      </x:c>
      <x:c r="C95" s="39" t="str">
        <x:v>www.indexventures.com</x:v>
      </x:c>
      <x:c r="D95" s="39" t="str">
        <x:v>Perfil / equipa</x:v>
      </x:c>
      <x:c r="E95" s="39" t="str">
        <x:v>Pessoa</x:v>
      </x:c>
      <x:c r="F95" s="39" t="str">
        <x:v>PER0040</x:v>
      </x:c>
      <x:c r="G95" s="44" t="str">
        <x:v>2026-09-09</x:v>
      </x:c>
      <x:c r="H95" s="39" t="str">
        <x:v>Ativa</x:v>
      </x:c>
      <x:c r="I95" s="39" t="str">
        <x:v>Fonte pública; verificar novamente antes de outreach.</x:v>
      </x:c>
    </x:row>
    <x:row r="96" ht="40" customHeight="1">
      <x:c r="A96" s="39" t="str">
        <x:v>SRC00095</x:v>
      </x:c>
      <x:c r="B96" s="39" t="str">
        <x:v>https://www.indexventures.com/team/</x:v>
      </x:c>
      <x:c r="C96" s="39" t="str">
        <x:v>www.indexventures.com</x:v>
      </x:c>
      <x:c r="D96" s="39" t="str">
        <x:v>Perfil / equipa</x:v>
      </x:c>
      <x:c r="E96" s="39" t="str">
        <x:v>Pessoa</x:v>
      </x:c>
      <x:c r="F96" s="39" t="str">
        <x:v>PER0041</x:v>
      </x:c>
      <x:c r="G96" s="44" t="str">
        <x:v>2026-09-09</x:v>
      </x:c>
      <x:c r="H96" s="39" t="str">
        <x:v>Ativa</x:v>
      </x:c>
      <x:c r="I96" s="39" t="str">
        <x:v>Fonte pública; verificar novamente antes de outreach.</x:v>
      </x:c>
    </x:row>
    <x:row r="97" ht="40" customHeight="1">
      <x:c r="A97" s="39" t="str">
        <x:v>SRC00096</x:v>
      </x:c>
      <x:c r="B97" s="39" t="str">
        <x:v>https://www.indexventures.com/team/</x:v>
      </x:c>
      <x:c r="C97" s="39" t="str">
        <x:v>www.indexventures.com</x:v>
      </x:c>
      <x:c r="D97" s="39" t="str">
        <x:v>Perfil / equipa</x:v>
      </x:c>
      <x:c r="E97" s="39" t="str">
        <x:v>Pessoa</x:v>
      </x:c>
      <x:c r="F97" s="39" t="str">
        <x:v>PER0042</x:v>
      </x:c>
      <x:c r="G97" s="44" t="str">
        <x:v>2026-09-09</x:v>
      </x:c>
      <x:c r="H97" s="39" t="str">
        <x:v>Ativa</x:v>
      </x:c>
      <x:c r="I97" s="39" t="str">
        <x:v>Fonte pública; verificar novamente antes de outreach.</x:v>
      </x:c>
    </x:row>
    <x:row r="98" ht="40" customHeight="1">
      <x:c r="A98" s="39" t="str">
        <x:v>SRC00097</x:v>
      </x:c>
      <x:c r="B98" s="39" t="str">
        <x:v>https://20.atomico.com/</x:v>
      </x:c>
      <x:c r="C98" s="39" t="str">
        <x:v>20.atomico.com</x:v>
      </x:c>
      <x:c r="D98" s="39" t="str">
        <x:v>Perfil / equipa</x:v>
      </x:c>
      <x:c r="E98" s="39" t="str">
        <x:v>Pessoa</x:v>
      </x:c>
      <x:c r="F98" s="39" t="str">
        <x:v>PER0043</x:v>
      </x:c>
      <x:c r="G98" s="44" t="str">
        <x:v>2026-09-09</x:v>
      </x:c>
      <x:c r="H98" s="39" t="str">
        <x:v>Ativa</x:v>
      </x:c>
      <x:c r="I98" s="39" t="str">
        <x:v>Fonte pública; verificar novamente antes de outreach.</x:v>
      </x:c>
    </x:row>
    <x:row r="99" ht="40" customHeight="1">
      <x:c r="A99" s="39" t="str">
        <x:v>SRC00098</x:v>
      </x:c>
      <x:c r="B99" s="39" t="str">
        <x:v>https://20.atomico.com/</x:v>
      </x:c>
      <x:c r="C99" s="39" t="str">
        <x:v>20.atomico.com</x:v>
      </x:c>
      <x:c r="D99" s="39" t="str">
        <x:v>Perfil / equipa</x:v>
      </x:c>
      <x:c r="E99" s="39" t="str">
        <x:v>Pessoa</x:v>
      </x:c>
      <x:c r="F99" s="39" t="str">
        <x:v>PER0044</x:v>
      </x:c>
      <x:c r="G99" s="44" t="str">
        <x:v>2026-09-09</x:v>
      </x:c>
      <x:c r="H99" s="39" t="str">
        <x:v>Ativa</x:v>
      </x:c>
      <x:c r="I99" s="39" t="str">
        <x:v>Fonte pública; verificar novamente antes de outreach.</x:v>
      </x:c>
    </x:row>
    <x:row r="100" ht="40" customHeight="1">
      <x:c r="A100" s="39" t="str">
        <x:v>SRC00099</x:v>
      </x:c>
      <x:c r="B100" s="39" t="str">
        <x:v>https://20.atomico.com/</x:v>
      </x:c>
      <x:c r="C100" s="39" t="str">
        <x:v>20.atomico.com</x:v>
      </x:c>
      <x:c r="D100" s="39" t="str">
        <x:v>Perfil / equipa</x:v>
      </x:c>
      <x:c r="E100" s="39" t="str">
        <x:v>Pessoa</x:v>
      </x:c>
      <x:c r="F100" s="39" t="str">
        <x:v>PER0045</x:v>
      </x:c>
      <x:c r="G100" s="44" t="str">
        <x:v>2026-09-09</x:v>
      </x:c>
      <x:c r="H100" s="39" t="str">
        <x:v>Ativa</x:v>
      </x:c>
      <x:c r="I100" s="39" t="str">
        <x:v>Fonte pública; verificar novamente antes de outreach.</x:v>
      </x:c>
    </x:row>
    <x:row r="101" ht="40" customHeight="1">
      <x:c r="A101" s="39" t="str">
        <x:v>SRC00100</x:v>
      </x:c>
      <x:c r="B101" s="39" t="str">
        <x:v>https://20.atomico.com/</x:v>
      </x:c>
      <x:c r="C101" s="39" t="str">
        <x:v>20.atomico.com</x:v>
      </x:c>
      <x:c r="D101" s="39" t="str">
        <x:v>Perfil / equipa</x:v>
      </x:c>
      <x:c r="E101" s="39" t="str">
        <x:v>Pessoa</x:v>
      </x:c>
      <x:c r="F101" s="39" t="str">
        <x:v>PER0046</x:v>
      </x:c>
      <x:c r="G101" s="44" t="str">
        <x:v>2026-09-09</x:v>
      </x:c>
      <x:c r="H101" s="39" t="str">
        <x:v>Ativa</x:v>
      </x:c>
      <x:c r="I101" s="39" t="str">
        <x:v>Fonte pública; verificar novamente antes de outreach.</x:v>
      </x:c>
    </x:row>
    <x:row r="102" ht="40" customHeight="1">
      <x:c r="A102" s="39" t="str">
        <x:v>SRC00101</x:v>
      </x:c>
      <x:c r="B102" s="39" t="str">
        <x:v>https://20.atomico.com/</x:v>
      </x:c>
      <x:c r="C102" s="39" t="str">
        <x:v>20.atomico.com</x:v>
      </x:c>
      <x:c r="D102" s="39" t="str">
        <x:v>Perfil / equipa</x:v>
      </x:c>
      <x:c r="E102" s="39" t="str">
        <x:v>Pessoa</x:v>
      </x:c>
      <x:c r="F102" s="39" t="str">
        <x:v>PER0047</x:v>
      </x:c>
      <x:c r="G102" s="44" t="str">
        <x:v>2026-09-09</x:v>
      </x:c>
      <x:c r="H102" s="39" t="str">
        <x:v>Ativa</x:v>
      </x:c>
      <x:c r="I102" s="39" t="str">
        <x:v>Fonte pública; verificar novamente antes de outreach.</x:v>
      </x:c>
    </x:row>
    <x:row r="103" ht="40" customHeight="1">
      <x:c r="A103" s="39" t="str">
        <x:v>SRC00102</x:v>
      </x:c>
      <x:c r="B103" s="39" t="str">
        <x:v>https://20.atomico.com/</x:v>
      </x:c>
      <x:c r="C103" s="39" t="str">
        <x:v>20.atomico.com</x:v>
      </x:c>
      <x:c r="D103" s="39" t="str">
        <x:v>Perfil / equipa</x:v>
      </x:c>
      <x:c r="E103" s="39" t="str">
        <x:v>Pessoa</x:v>
      </x:c>
      <x:c r="F103" s="39" t="str">
        <x:v>PER0048</x:v>
      </x:c>
      <x:c r="G103" s="44" t="str">
        <x:v>2026-09-09</x:v>
      </x:c>
      <x:c r="H103" s="39" t="str">
        <x:v>Ativa</x:v>
      </x:c>
      <x:c r="I103" s="39" t="str">
        <x:v>Fonte pública; verificar novamente antes de outreach.</x:v>
      </x:c>
    </x:row>
    <x:row r="104" ht="40" customHeight="1">
      <x:c r="A104" s="39" t="str">
        <x:v>SRC00103</x:v>
      </x:c>
      <x:c r="B104" s="39" t="str">
        <x:v>https://www.balderton.com/team/</x:v>
      </x:c>
      <x:c r="C104" s="39" t="str">
        <x:v>www.balderton.com</x:v>
      </x:c>
      <x:c r="D104" s="39" t="str">
        <x:v>Perfil / equipa</x:v>
      </x:c>
      <x:c r="E104" s="39" t="str">
        <x:v>Pessoa</x:v>
      </x:c>
      <x:c r="F104" s="39" t="str">
        <x:v>PER0049</x:v>
      </x:c>
      <x:c r="G104" s="44" t="str">
        <x:v>2026-09-09</x:v>
      </x:c>
      <x:c r="H104" s="39" t="str">
        <x:v>Ativa</x:v>
      </x:c>
      <x:c r="I104" s="39" t="str">
        <x:v>Fonte pública; verificar novamente antes de outreach.</x:v>
      </x:c>
    </x:row>
    <x:row r="105" ht="40" customHeight="1">
      <x:c r="A105" s="39" t="str">
        <x:v>SRC00104</x:v>
      </x:c>
      <x:c r="B105" s="39" t="str">
        <x:v>https://www.balderton.com/team/</x:v>
      </x:c>
      <x:c r="C105" s="39" t="str">
        <x:v>www.balderton.com</x:v>
      </x:c>
      <x:c r="D105" s="39" t="str">
        <x:v>Perfil / equipa</x:v>
      </x:c>
      <x:c r="E105" s="39" t="str">
        <x:v>Pessoa</x:v>
      </x:c>
      <x:c r="F105" s="39" t="str">
        <x:v>PER0050</x:v>
      </x:c>
      <x:c r="G105" s="44" t="str">
        <x:v>2026-09-09</x:v>
      </x:c>
      <x:c r="H105" s="39" t="str">
        <x:v>Ativa</x:v>
      </x:c>
      <x:c r="I105" s="39" t="str">
        <x:v>Fonte pública; verificar novamente antes de outreach.</x:v>
      </x:c>
    </x:row>
    <x:row r="106" ht="40" customHeight="1">
      <x:c r="A106" s="39" t="str">
        <x:v>SRC00105</x:v>
      </x:c>
      <x:c r="B106" s="39" t="str">
        <x:v>https://www.balderton.com/team/</x:v>
      </x:c>
      <x:c r="C106" s="39" t="str">
        <x:v>www.balderton.com</x:v>
      </x:c>
      <x:c r="D106" s="39" t="str">
        <x:v>Perfil / equipa</x:v>
      </x:c>
      <x:c r="E106" s="39" t="str">
        <x:v>Pessoa</x:v>
      </x:c>
      <x:c r="F106" s="39" t="str">
        <x:v>PER0051</x:v>
      </x:c>
      <x:c r="G106" s="44" t="str">
        <x:v>2026-09-09</x:v>
      </x:c>
      <x:c r="H106" s="39" t="str">
        <x:v>Ativa</x:v>
      </x:c>
      <x:c r="I106" s="39" t="str">
        <x:v>Fonte pública; verificar novamente antes de outreach.</x:v>
      </x:c>
    </x:row>
    <x:row r="107" ht="40" customHeight="1">
      <x:c r="A107" s="39" t="str">
        <x:v>SRC00106</x:v>
      </x:c>
      <x:c r="B107" s="39" t="str">
        <x:v>https://www.balderton.com/team/</x:v>
      </x:c>
      <x:c r="C107" s="39" t="str">
        <x:v>www.balderton.com</x:v>
      </x:c>
      <x:c r="D107" s="39" t="str">
        <x:v>Perfil / equipa</x:v>
      </x:c>
      <x:c r="E107" s="39" t="str">
        <x:v>Pessoa</x:v>
      </x:c>
      <x:c r="F107" s="39" t="str">
        <x:v>PER0052</x:v>
      </x:c>
      <x:c r="G107" s="44" t="str">
        <x:v>2026-09-09</x:v>
      </x:c>
      <x:c r="H107" s="39" t="str">
        <x:v>Ativa</x:v>
      </x:c>
      <x:c r="I107" s="39" t="str">
        <x:v>Fonte pública; verificar novamente antes de outreach.</x:v>
      </x:c>
    </x:row>
    <x:row r="108" ht="40" customHeight="1">
      <x:c r="A108" s="39" t="str">
        <x:v>SRC00107</x:v>
      </x:c>
      <x:c r="B108" s="39" t="str">
        <x:v>https://www.balderton.com/team/</x:v>
      </x:c>
      <x:c r="C108" s="39" t="str">
        <x:v>www.balderton.com</x:v>
      </x:c>
      <x:c r="D108" s="39" t="str">
        <x:v>Perfil / equipa</x:v>
      </x:c>
      <x:c r="E108" s="39" t="str">
        <x:v>Pessoa</x:v>
      </x:c>
      <x:c r="F108" s="39" t="str">
        <x:v>PER0053</x:v>
      </x:c>
      <x:c r="G108" s="44" t="str">
        <x:v>2026-09-09</x:v>
      </x:c>
      <x:c r="H108" s="39" t="str">
        <x:v>Ativa</x:v>
      </x:c>
      <x:c r="I108" s="39" t="str">
        <x:v>Fonte pública; verificar novamente antes de outreach.</x:v>
      </x:c>
    </x:row>
    <x:row r="109" ht="40" customHeight="1">
      <x:c r="A109" s="39" t="str">
        <x:v>SRC00108</x:v>
      </x:c>
      <x:c r="B109" s="39" t="str">
        <x:v>https://www.balderton.com/team/</x:v>
      </x:c>
      <x:c r="C109" s="39" t="str">
        <x:v>www.balderton.com</x:v>
      </x:c>
      <x:c r="D109" s="39" t="str">
        <x:v>Perfil / equipa</x:v>
      </x:c>
      <x:c r="E109" s="39" t="str">
        <x:v>Pessoa</x:v>
      </x:c>
      <x:c r="F109" s="39" t="str">
        <x:v>PER0054</x:v>
      </x:c>
      <x:c r="G109" s="44" t="str">
        <x:v>2026-09-09</x:v>
      </x:c>
      <x:c r="H109" s="39" t="str">
        <x:v>Ativa</x:v>
      </x:c>
      <x:c r="I109" s="39" t="str">
        <x:v>Fonte pública; verificar novamente antes de outreach.</x:v>
      </x:c>
    </x:row>
    <x:row r="110" ht="40" customHeight="1">
      <x:c r="A110" s="39" t="str">
        <x:v>SRC00109</x:v>
      </x:c>
      <x:c r="B110" s="39" t="str">
        <x:v>https://www.balderton.com/team/</x:v>
      </x:c>
      <x:c r="C110" s="39" t="str">
        <x:v>www.balderton.com</x:v>
      </x:c>
      <x:c r="D110" s="39" t="str">
        <x:v>Perfil / equipa</x:v>
      </x:c>
      <x:c r="E110" s="39" t="str">
        <x:v>Pessoa</x:v>
      </x:c>
      <x:c r="F110" s="39" t="str">
        <x:v>PER0055</x:v>
      </x:c>
      <x:c r="G110" s="44" t="str">
        <x:v>2026-09-09</x:v>
      </x:c>
      <x:c r="H110" s="39" t="str">
        <x:v>Ativa</x:v>
      </x:c>
      <x:c r="I110" s="39" t="str">
        <x:v>Fonte pública; verificar novamente antes de outreach.</x:v>
      </x:c>
    </x:row>
    <x:row r="111" ht="40" customHeight="1">
      <x:c r="A111" s="39" t="str">
        <x:v>SRC00110</x:v>
      </x:c>
      <x:c r="B111" s="39" t="str">
        <x:v>https://www.balderton.com/team/</x:v>
      </x:c>
      <x:c r="C111" s="39" t="str">
        <x:v>www.balderton.com</x:v>
      </x:c>
      <x:c r="D111" s="39" t="str">
        <x:v>Perfil / equipa</x:v>
      </x:c>
      <x:c r="E111" s="39" t="str">
        <x:v>Pessoa</x:v>
      </x:c>
      <x:c r="F111" s="39" t="str">
        <x:v>PER0056</x:v>
      </x:c>
      <x:c r="G111" s="44" t="str">
        <x:v>2026-09-09</x:v>
      </x:c>
      <x:c r="H111" s="39" t="str">
        <x:v>Ativa</x:v>
      </x:c>
      <x:c r="I111" s="39" t="str">
        <x:v>Fonte pública; verificar novamente antes de outreach.</x:v>
      </x:c>
    </x:row>
    <x:row r="112" ht="40" customHeight="1">
      <x:c r="A112" s="39" t="str">
        <x:v>SRC00111</x:v>
      </x:c>
      <x:c r="B112" s="39" t="str">
        <x:v>https://www.balderton.com/team/</x:v>
      </x:c>
      <x:c r="C112" s="39" t="str">
        <x:v>www.balderton.com</x:v>
      </x:c>
      <x:c r="D112" s="39" t="str">
        <x:v>Perfil / equipa</x:v>
      </x:c>
      <x:c r="E112" s="39" t="str">
        <x:v>Pessoa</x:v>
      </x:c>
      <x:c r="F112" s="39" t="str">
        <x:v>PER0057</x:v>
      </x:c>
      <x:c r="G112" s="44" t="str">
        <x:v>2026-09-09</x:v>
      </x:c>
      <x:c r="H112" s="39" t="str">
        <x:v>Ativa</x:v>
      </x:c>
      <x:c r="I112" s="39" t="str">
        <x:v>Fonte pública; verificar novamente antes de outreach.</x:v>
      </x:c>
    </x:row>
    <x:row r="113" ht="40" customHeight="1">
      <x:c r="A113" s="39" t="str">
        <x:v>SRC00112</x:v>
      </x:c>
      <x:c r="B113" s="39" t="str">
        <x:v>https://www.balderton.com/team/</x:v>
      </x:c>
      <x:c r="C113" s="39" t="str">
        <x:v>www.balderton.com</x:v>
      </x:c>
      <x:c r="D113" s="39" t="str">
        <x:v>Perfil / equipa</x:v>
      </x:c>
      <x:c r="E113" s="39" t="str">
        <x:v>Pessoa</x:v>
      </x:c>
      <x:c r="F113" s="39" t="str">
        <x:v>PER0058</x:v>
      </x:c>
      <x:c r="G113" s="44" t="str">
        <x:v>2026-09-09</x:v>
      </x:c>
      <x:c r="H113" s="39" t="str">
        <x:v>Ativa</x:v>
      </x:c>
      <x:c r="I113" s="39" t="str">
        <x:v>Fonte pública; verificar novamente antes de outreach.</x:v>
      </x:c>
    </x:row>
    <x:row r="114" ht="40" customHeight="1">
      <x:c r="A114" s="39" t="str">
        <x:v>SRC00113</x:v>
      </x:c>
      <x:c r="B114" s="39" t="str">
        <x:v>https://cherry.vc/about</x:v>
      </x:c>
      <x:c r="C114" s="39" t="str">
        <x:v>cherry.vc</x:v>
      </x:c>
      <x:c r="D114" s="39" t="str">
        <x:v>Perfil / equipa</x:v>
      </x:c>
      <x:c r="E114" s="39" t="str">
        <x:v>Pessoa</x:v>
      </x:c>
      <x:c r="F114" s="39" t="str">
        <x:v>PER0059</x:v>
      </x:c>
      <x:c r="G114" s="44" t="str">
        <x:v>2026-09-09</x:v>
      </x:c>
      <x:c r="H114" s="39" t="str">
        <x:v>Ativa</x:v>
      </x:c>
      <x:c r="I114" s="39" t="str">
        <x:v>Fonte pública; verificar novamente antes de outreach.</x:v>
      </x:c>
    </x:row>
    <x:row r="115" ht="40" customHeight="1">
      <x:c r="A115" s="39" t="str">
        <x:v>SRC00114</x:v>
      </x:c>
      <x:c r="B115" s="39" t="str">
        <x:v>https://cherry.vc/about</x:v>
      </x:c>
      <x:c r="C115" s="39" t="str">
        <x:v>cherry.vc</x:v>
      </x:c>
      <x:c r="D115" s="39" t="str">
        <x:v>Perfil / equipa</x:v>
      </x:c>
      <x:c r="E115" s="39" t="str">
        <x:v>Pessoa</x:v>
      </x:c>
      <x:c r="F115" s="39" t="str">
        <x:v>PER0060</x:v>
      </x:c>
      <x:c r="G115" s="44" t="str">
        <x:v>2026-09-09</x:v>
      </x:c>
      <x:c r="H115" s="39" t="str">
        <x:v>Ativa</x:v>
      </x:c>
      <x:c r="I115" s="39" t="str">
        <x:v>Fonte pública; verificar novamente antes de outreach.</x:v>
      </x:c>
    </x:row>
    <x:row r="116" ht="40" customHeight="1">
      <x:c r="A116" s="39" t="str">
        <x:v>SRC00115</x:v>
      </x:c>
      <x:c r="B116" s="39" t="str">
        <x:v>https://cherry.vc/about</x:v>
      </x:c>
      <x:c r="C116" s="39" t="str">
        <x:v>cherry.vc</x:v>
      </x:c>
      <x:c r="D116" s="39" t="str">
        <x:v>Perfil / equipa</x:v>
      </x:c>
      <x:c r="E116" s="39" t="str">
        <x:v>Pessoa</x:v>
      </x:c>
      <x:c r="F116" s="39" t="str">
        <x:v>PER0061</x:v>
      </x:c>
      <x:c r="G116" s="44" t="str">
        <x:v>2026-09-09</x:v>
      </x:c>
      <x:c r="H116" s="39" t="str">
        <x:v>Ativa</x:v>
      </x:c>
      <x:c r="I116" s="39" t="str">
        <x:v>Fonte pública; verificar novamente antes de outreach.</x:v>
      </x:c>
    </x:row>
    <x:row r="117" ht="40" customHeight="1">
      <x:c r="A117" s="39" t="str">
        <x:v>SRC00116</x:v>
      </x:c>
      <x:c r="B117" s="39" t="str">
        <x:v>https://cherry.vc/about</x:v>
      </x:c>
      <x:c r="C117" s="39" t="str">
        <x:v>cherry.vc</x:v>
      </x:c>
      <x:c r="D117" s="39" t="str">
        <x:v>Perfil / equipa</x:v>
      </x:c>
      <x:c r="E117" s="39" t="str">
        <x:v>Pessoa</x:v>
      </x:c>
      <x:c r="F117" s="39" t="str">
        <x:v>PER0062</x:v>
      </x:c>
      <x:c r="G117" s="44" t="str">
        <x:v>2026-09-09</x:v>
      </x:c>
      <x:c r="H117" s="39" t="str">
        <x:v>Ativa</x:v>
      </x:c>
      <x:c r="I117" s="39" t="str">
        <x:v>Fonte pública; verificar novamente antes de outreach.</x:v>
      </x:c>
    </x:row>
    <x:row r="118" ht="40" customHeight="1">
      <x:c r="A118" s="39" t="str">
        <x:v>SRC00117</x:v>
      </x:c>
      <x:c r="B118" s="39" t="str">
        <x:v>https://cherry.vc/about</x:v>
      </x:c>
      <x:c r="C118" s="39" t="str">
        <x:v>cherry.vc</x:v>
      </x:c>
      <x:c r="D118" s="39" t="str">
        <x:v>Perfil / equipa</x:v>
      </x:c>
      <x:c r="E118" s="39" t="str">
        <x:v>Pessoa</x:v>
      </x:c>
      <x:c r="F118" s="39" t="str">
        <x:v>PER0063</x:v>
      </x:c>
      <x:c r="G118" s="44" t="str">
        <x:v>2026-09-09</x:v>
      </x:c>
      <x:c r="H118" s="39" t="str">
        <x:v>Ativa</x:v>
      </x:c>
      <x:c r="I118" s="39" t="str">
        <x:v>Fonte pública; verificar novamente antes de outreach.</x:v>
      </x:c>
    </x:row>
    <x:row r="119" ht="40" customHeight="1">
      <x:c r="A119" s="39" t="str">
        <x:v>SRC00118</x:v>
      </x:c>
      <x:c r="B119" s="39" t="str">
        <x:v>https://cherry.vc/about</x:v>
      </x:c>
      <x:c r="C119" s="39" t="str">
        <x:v>cherry.vc</x:v>
      </x:c>
      <x:c r="D119" s="39" t="str">
        <x:v>Perfil / equipa</x:v>
      </x:c>
      <x:c r="E119" s="39" t="str">
        <x:v>Pessoa</x:v>
      </x:c>
      <x:c r="F119" s="39" t="str">
        <x:v>PER0064</x:v>
      </x:c>
      <x:c r="G119" s="44" t="str">
        <x:v>2026-09-09</x:v>
      </x:c>
      <x:c r="H119" s="39" t="str">
        <x:v>Ativa</x:v>
      </x:c>
      <x:c r="I119" s="39" t="str">
        <x:v>Fonte pública; verificar novamente antes de outreach.</x:v>
      </x:c>
    </x:row>
    <x:row r="120" ht="40" customHeight="1">
      <x:c r="A120" s="39" t="str">
        <x:v>SRC00119</x:v>
      </x:c>
      <x:c r="B120" s="39" t="str">
        <x:v>https://cherry.vc/about</x:v>
      </x:c>
      <x:c r="C120" s="39" t="str">
        <x:v>cherry.vc</x:v>
      </x:c>
      <x:c r="D120" s="39" t="str">
        <x:v>Perfil / equipa</x:v>
      </x:c>
      <x:c r="E120" s="39" t="str">
        <x:v>Pessoa</x:v>
      </x:c>
      <x:c r="F120" s="39" t="str">
        <x:v>PER0065</x:v>
      </x:c>
      <x:c r="G120" s="44" t="str">
        <x:v>2026-09-09</x:v>
      </x:c>
      <x:c r="H120" s="39" t="str">
        <x:v>Ativa</x:v>
      </x:c>
      <x:c r="I120" s="39" t="str">
        <x:v>Fonte pública; verificar novamente antes de outreach.</x:v>
      </x:c>
    </x:row>
    <x:row r="121" ht="40" customHeight="1">
      <x:c r="A121" s="39" t="str">
        <x:v>SRC00120</x:v>
      </x:c>
      <x:c r="B121" s="39" t="str">
        <x:v>https://cherry.vc/about</x:v>
      </x:c>
      <x:c r="C121" s="39" t="str">
        <x:v>cherry.vc</x:v>
      </x:c>
      <x:c r="D121" s="39" t="str">
        <x:v>Perfil / equipa</x:v>
      </x:c>
      <x:c r="E121" s="39" t="str">
        <x:v>Pessoa</x:v>
      </x:c>
      <x:c r="F121" s="39" t="str">
        <x:v>PER0066</x:v>
      </x:c>
      <x:c r="G121" s="44" t="str">
        <x:v>2026-09-09</x:v>
      </x:c>
      <x:c r="H121" s="39" t="str">
        <x:v>Ativa</x:v>
      </x:c>
      <x:c r="I121" s="39" t="str">
        <x:v>Fonte pública; verificar novamente antes de outreach.</x:v>
      </x:c>
    </x:row>
    <x:row r="122" ht="40" customHeight="1">
      <x:c r="A122" s="39" t="str">
        <x:v>SRC00121</x:v>
      </x:c>
      <x:c r="B122" s="39" t="str">
        <x:v>https://cherry.vc/about</x:v>
      </x:c>
      <x:c r="C122" s="39" t="str">
        <x:v>cherry.vc</x:v>
      </x:c>
      <x:c r="D122" s="39" t="str">
        <x:v>Perfil / equipa</x:v>
      </x:c>
      <x:c r="E122" s="39" t="str">
        <x:v>Pessoa</x:v>
      </x:c>
      <x:c r="F122" s="39" t="str">
        <x:v>PER0067</x:v>
      </x:c>
      <x:c r="G122" s="44" t="str">
        <x:v>2026-09-09</x:v>
      </x:c>
      <x:c r="H122" s="39" t="str">
        <x:v>Ativa</x:v>
      </x:c>
      <x:c r="I122" s="39" t="str">
        <x:v>Fonte pública; verificar novamente antes de outreach.</x:v>
      </x:c>
    </x:row>
    <x:row r="123" ht="40" customHeight="1">
      <x:c r="A123" s="39" t="str">
        <x:v>SRC00122</x:v>
      </x:c>
      <x:c r="B123" s="39" t="str">
        <x:v>https://creandum.com/team/</x:v>
      </x:c>
      <x:c r="C123" s="39" t="str">
        <x:v>creandum.com</x:v>
      </x:c>
      <x:c r="D123" s="39" t="str">
        <x:v>Perfil / equipa</x:v>
      </x:c>
      <x:c r="E123" s="39" t="str">
        <x:v>Pessoa</x:v>
      </x:c>
      <x:c r="F123" s="39" t="str">
        <x:v>PER0068</x:v>
      </x:c>
      <x:c r="G123" s="44" t="str">
        <x:v>2026-09-09</x:v>
      </x:c>
      <x:c r="H123" s="39" t="str">
        <x:v>Ativa</x:v>
      </x:c>
      <x:c r="I123" s="39" t="str">
        <x:v>Fonte pública; verificar novamente antes de outreach.</x:v>
      </x:c>
    </x:row>
    <x:row r="124" ht="40" customHeight="1">
      <x:c r="A124" s="39" t="str">
        <x:v>SRC00123</x:v>
      </x:c>
      <x:c r="B124" s="39" t="str">
        <x:v>https://creandum.com/team/</x:v>
      </x:c>
      <x:c r="C124" s="39" t="str">
        <x:v>creandum.com</x:v>
      </x:c>
      <x:c r="D124" s="39" t="str">
        <x:v>Perfil / equipa</x:v>
      </x:c>
      <x:c r="E124" s="39" t="str">
        <x:v>Pessoa</x:v>
      </x:c>
      <x:c r="F124" s="39" t="str">
        <x:v>PER0069</x:v>
      </x:c>
      <x:c r="G124" s="44" t="str">
        <x:v>2026-09-09</x:v>
      </x:c>
      <x:c r="H124" s="39" t="str">
        <x:v>Ativa</x:v>
      </x:c>
      <x:c r="I124" s="39" t="str">
        <x:v>Fonte pública; verificar novamente antes de outreach.</x:v>
      </x:c>
    </x:row>
    <x:row r="125" ht="40" customHeight="1">
      <x:c r="A125" s="39" t="str">
        <x:v>SRC00124</x:v>
      </x:c>
      <x:c r="B125" s="39" t="str">
        <x:v>https://creandum.com/team/</x:v>
      </x:c>
      <x:c r="C125" s="39" t="str">
        <x:v>creandum.com</x:v>
      </x:c>
      <x:c r="D125" s="39" t="str">
        <x:v>Perfil / equipa</x:v>
      </x:c>
      <x:c r="E125" s="39" t="str">
        <x:v>Pessoa</x:v>
      </x:c>
      <x:c r="F125" s="39" t="str">
        <x:v>PER0070</x:v>
      </x:c>
      <x:c r="G125" s="44" t="str">
        <x:v>2026-09-09</x:v>
      </x:c>
      <x:c r="H125" s="39" t="str">
        <x:v>Ativa</x:v>
      </x:c>
      <x:c r="I125" s="39" t="str">
        <x:v>Fonte pública; verificar novamente antes de outreach.</x:v>
      </x:c>
    </x:row>
    <x:row r="126" ht="40" customHeight="1">
      <x:c r="A126" s="39" t="str">
        <x:v>SRC00125</x:v>
      </x:c>
      <x:c r="B126" s="39" t="str">
        <x:v>https://creandum.com/team/</x:v>
      </x:c>
      <x:c r="C126" s="39" t="str">
        <x:v>creandum.com</x:v>
      </x:c>
      <x:c r="D126" s="39" t="str">
        <x:v>Perfil / equipa</x:v>
      </x:c>
      <x:c r="E126" s="39" t="str">
        <x:v>Pessoa</x:v>
      </x:c>
      <x:c r="F126" s="39" t="str">
        <x:v>PER0071</x:v>
      </x:c>
      <x:c r="G126" s="44" t="str">
        <x:v>2026-09-09</x:v>
      </x:c>
      <x:c r="H126" s="39" t="str">
        <x:v>Ativa</x:v>
      </x:c>
      <x:c r="I126" s="39" t="str">
        <x:v>Fonte pública; verificar novamente antes de outreach.</x:v>
      </x:c>
    </x:row>
    <x:row r="127" ht="40" customHeight="1">
      <x:c r="A127" s="39" t="str">
        <x:v>SRC00126</x:v>
      </x:c>
      <x:c r="B127" s="39" t="str">
        <x:v>https://creandum.com/team/</x:v>
      </x:c>
      <x:c r="C127" s="39" t="str">
        <x:v>creandum.com</x:v>
      </x:c>
      <x:c r="D127" s="39" t="str">
        <x:v>Perfil / equipa</x:v>
      </x:c>
      <x:c r="E127" s="39" t="str">
        <x:v>Pessoa</x:v>
      </x:c>
      <x:c r="F127" s="39" t="str">
        <x:v>PER0072</x:v>
      </x:c>
      <x:c r="G127" s="44" t="str">
        <x:v>2026-09-09</x:v>
      </x:c>
      <x:c r="H127" s="39" t="str">
        <x:v>Ativa</x:v>
      </x:c>
      <x:c r="I127" s="39" t="str">
        <x:v>Fonte pública; verificar novamente antes de outreach.</x:v>
      </x:c>
    </x:row>
    <x:row r="128" ht="40" customHeight="1">
      <x:c r="A128" s="39" t="str">
        <x:v>SRC00127</x:v>
      </x:c>
      <x:c r="B128" s="39" t="str">
        <x:v>https://creandum.com/team/</x:v>
      </x:c>
      <x:c r="C128" s="39" t="str">
        <x:v>creandum.com</x:v>
      </x:c>
      <x:c r="D128" s="39" t="str">
        <x:v>Perfil / equipa</x:v>
      </x:c>
      <x:c r="E128" s="39" t="str">
        <x:v>Pessoa</x:v>
      </x:c>
      <x:c r="F128" s="39" t="str">
        <x:v>PER0073</x:v>
      </x:c>
      <x:c r="G128" s="44" t="str">
        <x:v>2026-09-09</x:v>
      </x:c>
      <x:c r="H128" s="39" t="str">
        <x:v>Ativa</x:v>
      </x:c>
      <x:c r="I128" s="39" t="str">
        <x:v>Fonte pública; verificar novamente antes de outreach.</x:v>
      </x:c>
    </x:row>
    <x:row r="129" ht="40" customHeight="1">
      <x:c r="A129" s="39" t="str">
        <x:v>SRC00128</x:v>
      </x:c>
      <x:c r="B129" s="39" t="str">
        <x:v>https://creandum.com/team/</x:v>
      </x:c>
      <x:c r="C129" s="39" t="str">
        <x:v>creandum.com</x:v>
      </x:c>
      <x:c r="D129" s="39" t="str">
        <x:v>Perfil / equipa</x:v>
      </x:c>
      <x:c r="E129" s="39" t="str">
        <x:v>Pessoa</x:v>
      </x:c>
      <x:c r="F129" s="39" t="str">
        <x:v>PER0074</x:v>
      </x:c>
      <x:c r="G129" s="44" t="str">
        <x:v>2026-09-09</x:v>
      </x:c>
      <x:c r="H129" s="39" t="str">
        <x:v>Ativa</x:v>
      </x:c>
      <x:c r="I129" s="39" t="str">
        <x:v>Fonte pública; verificar novamente antes de outreach.</x:v>
      </x:c>
    </x:row>
    <x:row r="130" ht="40" customHeight="1">
      <x:c r="A130" s="39" t="str">
        <x:v>SRC00129</x:v>
      </x:c>
      <x:c r="B130" s="39" t="str">
        <x:v>https://creandum.com/team/</x:v>
      </x:c>
      <x:c r="C130" s="39" t="str">
        <x:v>creandum.com</x:v>
      </x:c>
      <x:c r="D130" s="39" t="str">
        <x:v>Perfil / equipa</x:v>
      </x:c>
      <x:c r="E130" s="39" t="str">
        <x:v>Pessoa</x:v>
      </x:c>
      <x:c r="F130" s="39" t="str">
        <x:v>PER0075</x:v>
      </x:c>
      <x:c r="G130" s="44" t="str">
        <x:v>2026-09-09</x:v>
      </x:c>
      <x:c r="H130" s="39" t="str">
        <x:v>Ativa</x:v>
      </x:c>
      <x:c r="I130" s="39" t="str">
        <x:v>Fonte pública; verificar novamente antes de outreach.</x:v>
      </x:c>
    </x:row>
    <x:row r="131" ht="40" customHeight="1">
      <x:c r="A131" s="39" t="str">
        <x:v>SRC00130</x:v>
      </x:c>
      <x:c r="B131" s="39" t="str">
        <x:v>https://creandum.com/team/</x:v>
      </x:c>
      <x:c r="C131" s="39" t="str">
        <x:v>creandum.com</x:v>
      </x:c>
      <x:c r="D131" s="39" t="str">
        <x:v>Perfil / equipa</x:v>
      </x:c>
      <x:c r="E131" s="39" t="str">
        <x:v>Pessoa</x:v>
      </x:c>
      <x:c r="F131" s="39" t="str">
        <x:v>PER0076</x:v>
      </x:c>
      <x:c r="G131" s="44" t="str">
        <x:v>2026-09-09</x:v>
      </x:c>
      <x:c r="H131" s="39" t="str">
        <x:v>Ativa</x:v>
      </x:c>
      <x:c r="I131" s="39" t="str">
        <x:v>Fonte pública; verificar novamente antes de outreach.</x:v>
      </x:c>
    </x:row>
    <x:row r="132" ht="40" customHeight="1">
      <x:c r="A132" s="39" t="str">
        <x:v>SRC00131</x:v>
      </x:c>
      <x:c r="B132" s="39" t="str">
        <x:v>https://creandum.com/team/</x:v>
      </x:c>
      <x:c r="C132" s="39" t="str">
        <x:v>creandum.com</x:v>
      </x:c>
      <x:c r="D132" s="39" t="str">
        <x:v>Perfil / equipa</x:v>
      </x:c>
      <x:c r="E132" s="39" t="str">
        <x:v>Pessoa</x:v>
      </x:c>
      <x:c r="F132" s="39" t="str">
        <x:v>PER0077</x:v>
      </x:c>
      <x:c r="G132" s="44" t="str">
        <x:v>2026-09-09</x:v>
      </x:c>
      <x:c r="H132" s="39" t="str">
        <x:v>Ativa</x:v>
      </x:c>
      <x:c r="I132" s="39" t="str">
        <x:v>Fonte pública; verificar novamente antes de outreach.</x:v>
      </x:c>
    </x:row>
    <x:row r="133" ht="40" customHeight="1">
      <x:c r="A133" s="39" t="str">
        <x:v>SRC00132</x:v>
      </x:c>
      <x:c r="B133" s="39" t="str">
        <x:v>https://creandum.com/team/</x:v>
      </x:c>
      <x:c r="C133" s="39" t="str">
        <x:v>creandum.com</x:v>
      </x:c>
      <x:c r="D133" s="39" t="str">
        <x:v>Perfil / equipa</x:v>
      </x:c>
      <x:c r="E133" s="39" t="str">
        <x:v>Pessoa</x:v>
      </x:c>
      <x:c r="F133" s="39" t="str">
        <x:v>PER0078</x:v>
      </x:c>
      <x:c r="G133" s="44" t="str">
        <x:v>2026-09-09</x:v>
      </x:c>
      <x:c r="H133" s="39" t="str">
        <x:v>Ativa</x:v>
      </x:c>
      <x:c r="I133" s="39" t="str">
        <x:v>Fonte pública; verificar novamente antes de outreach.</x:v>
      </x:c>
    </x:row>
    <x:row r="134" ht="40" customHeight="1">
      <x:c r="A134" s="39" t="str">
        <x:v>SRC00133</x:v>
      </x:c>
      <x:c r="B134" s="39" t="str">
        <x:v>https://creandum.com/team/</x:v>
      </x:c>
      <x:c r="C134" s="39" t="str">
        <x:v>creandum.com</x:v>
      </x:c>
      <x:c r="D134" s="39" t="str">
        <x:v>Perfil / equipa</x:v>
      </x:c>
      <x:c r="E134" s="39" t="str">
        <x:v>Pessoa</x:v>
      </x:c>
      <x:c r="F134" s="39" t="str">
        <x:v>PER0079</x:v>
      </x:c>
      <x:c r="G134" s="44" t="str">
        <x:v>2026-09-09</x:v>
      </x:c>
      <x:c r="H134" s="39" t="str">
        <x:v>Ativa</x:v>
      </x:c>
      <x:c r="I134" s="39" t="str">
        <x:v>Fonte pública; verificar novamente antes de outreach.</x:v>
      </x:c>
    </x:row>
    <x:row r="135" ht="40" customHeight="1">
      <x:c r="A135" s="39" t="str">
        <x:v>SRC00134</x:v>
      </x:c>
      <x:c r="B135" s="39" t="str">
        <x:v>https://northzone.com/team</x:v>
      </x:c>
      <x:c r="C135" s="39" t="str">
        <x:v>northzone.com</x:v>
      </x:c>
      <x:c r="D135" s="39" t="str">
        <x:v>Perfil / equipa</x:v>
      </x:c>
      <x:c r="E135" s="39" t="str">
        <x:v>Pessoa</x:v>
      </x:c>
      <x:c r="F135" s="39" t="str">
        <x:v>PER0080</x:v>
      </x:c>
      <x:c r="G135" s="44" t="str">
        <x:v>2026-09-09</x:v>
      </x:c>
      <x:c r="H135" s="39" t="str">
        <x:v>Ativa</x:v>
      </x:c>
      <x:c r="I135" s="39" t="str">
        <x:v>Fonte pública; verificar novamente antes de outreach.</x:v>
      </x:c>
    </x:row>
    <x:row r="136" ht="40" customHeight="1">
      <x:c r="A136" s="39" t="str">
        <x:v>SRC00135</x:v>
      </x:c>
      <x:c r="B136" s="39" t="str">
        <x:v>https://northzone.com/team</x:v>
      </x:c>
      <x:c r="C136" s="39" t="str">
        <x:v>northzone.com</x:v>
      </x:c>
      <x:c r="D136" s="39" t="str">
        <x:v>Perfil / equipa</x:v>
      </x:c>
      <x:c r="E136" s="39" t="str">
        <x:v>Pessoa</x:v>
      </x:c>
      <x:c r="F136" s="39" t="str">
        <x:v>PER0081</x:v>
      </x:c>
      <x:c r="G136" s="44" t="str">
        <x:v>2026-09-09</x:v>
      </x:c>
      <x:c r="H136" s="39" t="str">
        <x:v>Ativa</x:v>
      </x:c>
      <x:c r="I136" s="39" t="str">
        <x:v>Fonte pública; verificar novamente antes de outreach.</x:v>
      </x:c>
    </x:row>
    <x:row r="137" ht="40" customHeight="1">
      <x:c r="A137" s="39" t="str">
        <x:v>SRC00136</x:v>
      </x:c>
      <x:c r="B137" s="39" t="str">
        <x:v>https://northzone.com/team</x:v>
      </x:c>
      <x:c r="C137" s="39" t="str">
        <x:v>northzone.com</x:v>
      </x:c>
      <x:c r="D137" s="39" t="str">
        <x:v>Perfil / equipa</x:v>
      </x:c>
      <x:c r="E137" s="39" t="str">
        <x:v>Pessoa</x:v>
      </x:c>
      <x:c r="F137" s="39" t="str">
        <x:v>PER0082</x:v>
      </x:c>
      <x:c r="G137" s="44" t="str">
        <x:v>2026-09-09</x:v>
      </x:c>
      <x:c r="H137" s="39" t="str">
        <x:v>Ativa</x:v>
      </x:c>
      <x:c r="I137" s="39" t="str">
        <x:v>Fonte pública; verificar novamente antes de outreach.</x:v>
      </x:c>
    </x:row>
    <x:row r="138" ht="40" customHeight="1">
      <x:c r="A138" s="39" t="str">
        <x:v>SRC00137</x:v>
      </x:c>
      <x:c r="B138" s="39" t="str">
        <x:v>https://northzone.com/team</x:v>
      </x:c>
      <x:c r="C138" s="39" t="str">
        <x:v>northzone.com</x:v>
      </x:c>
      <x:c r="D138" s="39" t="str">
        <x:v>Perfil / equipa</x:v>
      </x:c>
      <x:c r="E138" s="39" t="str">
        <x:v>Pessoa</x:v>
      </x:c>
      <x:c r="F138" s="39" t="str">
        <x:v>PER0083</x:v>
      </x:c>
      <x:c r="G138" s="44" t="str">
        <x:v>2026-09-09</x:v>
      </x:c>
      <x:c r="H138" s="39" t="str">
        <x:v>Ativa</x:v>
      </x:c>
      <x:c r="I138" s="39" t="str">
        <x:v>Fonte pública; verificar novamente antes de outreach.</x:v>
      </x:c>
    </x:row>
    <x:row r="139" ht="40" customHeight="1">
      <x:c r="A139" s="39" t="str">
        <x:v>SRC00138</x:v>
      </x:c>
      <x:c r="B139" s="39" t="str">
        <x:v>https://northzone.com/team</x:v>
      </x:c>
      <x:c r="C139" s="39" t="str">
        <x:v>northzone.com</x:v>
      </x:c>
      <x:c r="D139" s="39" t="str">
        <x:v>Perfil / equipa</x:v>
      </x:c>
      <x:c r="E139" s="39" t="str">
        <x:v>Pessoa</x:v>
      </x:c>
      <x:c r="F139" s="39" t="str">
        <x:v>PER0084</x:v>
      </x:c>
      <x:c r="G139" s="44" t="str">
        <x:v>2026-09-09</x:v>
      </x:c>
      <x:c r="H139" s="39" t="str">
        <x:v>Ativa</x:v>
      </x:c>
      <x:c r="I139" s="39" t="str">
        <x:v>Fonte pública; verificar novamente antes de outreach.</x:v>
      </x:c>
    </x:row>
    <x:row r="140" ht="40" customHeight="1">
      <x:c r="A140" s="39" t="str">
        <x:v>SRC00139</x:v>
      </x:c>
      <x:c r="B140" s="39" t="str">
        <x:v>https://northzone.com/team</x:v>
      </x:c>
      <x:c r="C140" s="39" t="str">
        <x:v>northzone.com</x:v>
      </x:c>
      <x:c r="D140" s="39" t="str">
        <x:v>Perfil / equipa</x:v>
      </x:c>
      <x:c r="E140" s="39" t="str">
        <x:v>Pessoa</x:v>
      </x:c>
      <x:c r="F140" s="39" t="str">
        <x:v>PER0085</x:v>
      </x:c>
      <x:c r="G140" s="44" t="str">
        <x:v>2026-09-09</x:v>
      </x:c>
      <x:c r="H140" s="39" t="str">
        <x:v>Ativa</x:v>
      </x:c>
      <x:c r="I140" s="39" t="str">
        <x:v>Fonte pública; verificar novamente antes de outreach.</x:v>
      </x:c>
    </x:row>
    <x:row r="141" ht="40" customHeight="1">
      <x:c r="A141" s="39" t="str">
        <x:v>SRC00140</x:v>
      </x:c>
      <x:c r="B141" s="39" t="str">
        <x:v>https://northzone.com/team</x:v>
      </x:c>
      <x:c r="C141" s="39" t="str">
        <x:v>northzone.com</x:v>
      </x:c>
      <x:c r="D141" s="39" t="str">
        <x:v>Perfil / equipa</x:v>
      </x:c>
      <x:c r="E141" s="39" t="str">
        <x:v>Pessoa</x:v>
      </x:c>
      <x:c r="F141" s="39" t="str">
        <x:v>PER0086</x:v>
      </x:c>
      <x:c r="G141" s="44" t="str">
        <x:v>2026-09-09</x:v>
      </x:c>
      <x:c r="H141" s="39" t="str">
        <x:v>Ativa</x:v>
      </x:c>
      <x:c r="I141" s="39" t="str">
        <x:v>Fonte pública; verificar novamente antes de outreach.</x:v>
      </x:c>
    </x:row>
    <x:row r="142" ht="40" customHeight="1">
      <x:c r="A142" s="39" t="str">
        <x:v>SRC00141</x:v>
      </x:c>
      <x:c r="B142" s="39" t="str">
        <x:v>https://northzone.com/team</x:v>
      </x:c>
      <x:c r="C142" s="39" t="str">
        <x:v>northzone.com</x:v>
      </x:c>
      <x:c r="D142" s="39" t="str">
        <x:v>Perfil / equipa</x:v>
      </x:c>
      <x:c r="E142" s="39" t="str">
        <x:v>Pessoa</x:v>
      </x:c>
      <x:c r="F142" s="39" t="str">
        <x:v>PER0087</x:v>
      </x:c>
      <x:c r="G142" s="44" t="str">
        <x:v>2026-09-09</x:v>
      </x:c>
      <x:c r="H142" s="39" t="str">
        <x:v>Ativa</x:v>
      </x:c>
      <x:c r="I142" s="39" t="str">
        <x:v>Fonte pública; verificar novamente antes de outreach.</x:v>
      </x:c>
    </x:row>
    <x:row r="143" ht="40" customHeight="1">
      <x:c r="A143" s="39" t="str">
        <x:v>SRC00142</x:v>
      </x:c>
      <x:c r="B143" s="39" t="str">
        <x:v>https://northzone.com/team</x:v>
      </x:c>
      <x:c r="C143" s="39" t="str">
        <x:v>northzone.com</x:v>
      </x:c>
      <x:c r="D143" s="39" t="str">
        <x:v>Perfil / equipa</x:v>
      </x:c>
      <x:c r="E143" s="39" t="str">
        <x:v>Pessoa</x:v>
      </x:c>
      <x:c r="F143" s="39" t="str">
        <x:v>PER0088</x:v>
      </x:c>
      <x:c r="G143" s="44" t="str">
        <x:v>2026-09-09</x:v>
      </x:c>
      <x:c r="H143" s="39" t="str">
        <x:v>Ativa</x:v>
      </x:c>
      <x:c r="I143" s="39" t="str">
        <x:v>Fonte pública; verificar novamente antes de outreach.</x:v>
      </x:c>
    </x:row>
    <x:row r="144" ht="40" customHeight="1">
      <x:c r="A144" s="39" t="str">
        <x:v>SRC00143</x:v>
      </x:c>
      <x:c r="B144" s="39" t="str">
        <x:v>https://northzone.com/team</x:v>
      </x:c>
      <x:c r="C144" s="39" t="str">
        <x:v>northzone.com</x:v>
      </x:c>
      <x:c r="D144" s="39" t="str">
        <x:v>Perfil / equipa</x:v>
      </x:c>
      <x:c r="E144" s="39" t="str">
        <x:v>Pessoa</x:v>
      </x:c>
      <x:c r="F144" s="39" t="str">
        <x:v>PER0089</x:v>
      </x:c>
      <x:c r="G144" s="44" t="str">
        <x:v>2026-09-09</x:v>
      </x:c>
      <x:c r="H144" s="39" t="str">
        <x:v>Ativa</x:v>
      </x:c>
      <x:c r="I144" s="39" t="str">
        <x:v>Fonte pública; verificar novamente antes de outreach.</x:v>
      </x:c>
    </x:row>
    <x:row r="145" ht="40" customHeight="1">
      <x:c r="A145" s="39" t="str">
        <x:v>SRC00144</x:v>
      </x:c>
      <x:c r="B145" s="39" t="str">
        <x:v>https://northzone.com/team</x:v>
      </x:c>
      <x:c r="C145" s="39" t="str">
        <x:v>northzone.com</x:v>
      </x:c>
      <x:c r="D145" s="39" t="str">
        <x:v>Perfil / equipa</x:v>
      </x:c>
      <x:c r="E145" s="39" t="str">
        <x:v>Pessoa</x:v>
      </x:c>
      <x:c r="F145" s="39" t="str">
        <x:v>PER0090</x:v>
      </x:c>
      <x:c r="G145" s="44" t="str">
        <x:v>2026-09-09</x:v>
      </x:c>
      <x:c r="H145" s="39" t="str">
        <x:v>Ativa</x:v>
      </x:c>
      <x:c r="I145" s="39" t="str">
        <x:v>Fonte pública; verificar novamente antes de outreach.</x:v>
      </x:c>
    </x:row>
    <x:row r="146" ht="40" customHeight="1">
      <x:c r="A146" s="39" t="str">
        <x:v>SRC00145</x:v>
      </x:c>
      <x:c r="B146" s="39" t="str">
        <x:v>https://northzone.com/team</x:v>
      </x:c>
      <x:c r="C146" s="39" t="str">
        <x:v>northzone.com</x:v>
      </x:c>
      <x:c r="D146" s="39" t="str">
        <x:v>Perfil / equipa</x:v>
      </x:c>
      <x:c r="E146" s="39" t="str">
        <x:v>Pessoa</x:v>
      </x:c>
      <x:c r="F146" s="39" t="str">
        <x:v>PER0091</x:v>
      </x:c>
      <x:c r="G146" s="44" t="str">
        <x:v>2026-09-09</x:v>
      </x:c>
      <x:c r="H146" s="39" t="str">
        <x:v>Ativa</x:v>
      </x:c>
      <x:c r="I146" s="39" t="str">
        <x:v>Fonte pública; verificar novamente antes de outreach.</x:v>
      </x:c>
    </x:row>
    <x:row r="147" ht="40" customHeight="1">
      <x:c r="A147" s="39" t="str">
        <x:v>SRC00146</x:v>
      </x:c>
      <x:c r="B147" s="39" t="str">
        <x:v>https://www.project-a.com/team/</x:v>
      </x:c>
      <x:c r="C147" s="39" t="str">
        <x:v>www.project-a.com</x:v>
      </x:c>
      <x:c r="D147" s="39" t="str">
        <x:v>Perfil / equipa</x:v>
      </x:c>
      <x:c r="E147" s="39" t="str">
        <x:v>Pessoa</x:v>
      </x:c>
      <x:c r="F147" s="39" t="str">
        <x:v>PER0092</x:v>
      </x:c>
      <x:c r="G147" s="44" t="str">
        <x:v>2026-09-09</x:v>
      </x:c>
      <x:c r="H147" s="39" t="str">
        <x:v>Ativa</x:v>
      </x:c>
      <x:c r="I147" s="39" t="str">
        <x:v>Fonte pública; verificar novamente antes de outreach.</x:v>
      </x:c>
    </x:row>
    <x:row r="148" ht="40" customHeight="1">
      <x:c r="A148" s="39" t="str">
        <x:v>SRC00147</x:v>
      </x:c>
      <x:c r="B148" s="39" t="str">
        <x:v>https://www.project-a.com/team/</x:v>
      </x:c>
      <x:c r="C148" s="39" t="str">
        <x:v>www.project-a.com</x:v>
      </x:c>
      <x:c r="D148" s="39" t="str">
        <x:v>Perfil / equipa</x:v>
      </x:c>
      <x:c r="E148" s="39" t="str">
        <x:v>Pessoa</x:v>
      </x:c>
      <x:c r="F148" s="39" t="str">
        <x:v>PER0093</x:v>
      </x:c>
      <x:c r="G148" s="44" t="str">
        <x:v>2026-09-09</x:v>
      </x:c>
      <x:c r="H148" s="39" t="str">
        <x:v>Ativa</x:v>
      </x:c>
      <x:c r="I148" s="39" t="str">
        <x:v>Fonte pública; verificar novamente antes de outreach.</x:v>
      </x:c>
    </x:row>
    <x:row r="149" ht="40" customHeight="1">
      <x:c r="A149" s="39" t="str">
        <x:v>SRC00148</x:v>
      </x:c>
      <x:c r="B149" s="39" t="str">
        <x:v>https://www.project-a.com/team/</x:v>
      </x:c>
      <x:c r="C149" s="39" t="str">
        <x:v>www.project-a.com</x:v>
      </x:c>
      <x:c r="D149" s="39" t="str">
        <x:v>Perfil / equipa</x:v>
      </x:c>
      <x:c r="E149" s="39" t="str">
        <x:v>Pessoa</x:v>
      </x:c>
      <x:c r="F149" s="39" t="str">
        <x:v>PER0094</x:v>
      </x:c>
      <x:c r="G149" s="44" t="str">
        <x:v>2026-09-09</x:v>
      </x:c>
      <x:c r="H149" s="39" t="str">
        <x:v>Ativa</x:v>
      </x:c>
      <x:c r="I149" s="39" t="str">
        <x:v>Fonte pública; verificar novamente antes de outreach.</x:v>
      </x:c>
    </x:row>
    <x:row r="150" ht="40" customHeight="1">
      <x:c r="A150" s="39" t="str">
        <x:v>SRC00149</x:v>
      </x:c>
      <x:c r="B150" s="39" t="str">
        <x:v>https://www.project-a.com/team/</x:v>
      </x:c>
      <x:c r="C150" s="39" t="str">
        <x:v>www.project-a.com</x:v>
      </x:c>
      <x:c r="D150" s="39" t="str">
        <x:v>Perfil / equipa</x:v>
      </x:c>
      <x:c r="E150" s="39" t="str">
        <x:v>Pessoa</x:v>
      </x:c>
      <x:c r="F150" s="39" t="str">
        <x:v>PER0095</x:v>
      </x:c>
      <x:c r="G150" s="44" t="str">
        <x:v>2026-09-09</x:v>
      </x:c>
      <x:c r="H150" s="39" t="str">
        <x:v>Ativa</x:v>
      </x:c>
      <x:c r="I150" s="39" t="str">
        <x:v>Fonte pública; verificar novamente antes de outreach.</x:v>
      </x:c>
    </x:row>
    <x:row r="151" ht="40" customHeight="1">
      <x:c r="A151" s="39" t="str">
        <x:v>SRC00150</x:v>
      </x:c>
      <x:c r="B151" s="39" t="str">
        <x:v>https://www.project-a.com/team/</x:v>
      </x:c>
      <x:c r="C151" s="39" t="str">
        <x:v>www.project-a.com</x:v>
      </x:c>
      <x:c r="D151" s="39" t="str">
        <x:v>Perfil / equipa</x:v>
      </x:c>
      <x:c r="E151" s="39" t="str">
        <x:v>Pessoa</x:v>
      </x:c>
      <x:c r="F151" s="39" t="str">
        <x:v>PER0096</x:v>
      </x:c>
      <x:c r="G151" s="44" t="str">
        <x:v>2026-09-09</x:v>
      </x:c>
      <x:c r="H151" s="39" t="str">
        <x:v>Ativa</x:v>
      </x:c>
      <x:c r="I151" s="39" t="str">
        <x:v>Fonte pública; verificar novamente antes de outreach.</x:v>
      </x:c>
    </x:row>
    <x:row r="152" ht="40" customHeight="1">
      <x:c r="A152" s="39" t="str">
        <x:v>SRC00151</x:v>
      </x:c>
      <x:c r="B152" s="39" t="str">
        <x:v>https://www.project-a.com/team/</x:v>
      </x:c>
      <x:c r="C152" s="39" t="str">
        <x:v>www.project-a.com</x:v>
      </x:c>
      <x:c r="D152" s="39" t="str">
        <x:v>Perfil / equipa</x:v>
      </x:c>
      <x:c r="E152" s="39" t="str">
        <x:v>Pessoa</x:v>
      </x:c>
      <x:c r="F152" s="39" t="str">
        <x:v>PER0097</x:v>
      </x:c>
      <x:c r="G152" s="44" t="str">
        <x:v>2026-09-09</x:v>
      </x:c>
      <x:c r="H152" s="39" t="str">
        <x:v>Ativa</x:v>
      </x:c>
      <x:c r="I152" s="39" t="str">
        <x:v>Fonte pública; verificar novamente antes de outreach.</x:v>
      </x:c>
    </x:row>
    <x:row r="153" ht="40" customHeight="1">
      <x:c r="A153" s="39" t="str">
        <x:v>SRC00152</x:v>
      </x:c>
      <x:c r="B153" s="39" t="str">
        <x:v>https://www.project-a.com/team/</x:v>
      </x:c>
      <x:c r="C153" s="39" t="str">
        <x:v>www.project-a.com</x:v>
      </x:c>
      <x:c r="D153" s="39" t="str">
        <x:v>Perfil / equipa</x:v>
      </x:c>
      <x:c r="E153" s="39" t="str">
        <x:v>Pessoa</x:v>
      </x:c>
      <x:c r="F153" s="39" t="str">
        <x:v>PER0098</x:v>
      </x:c>
      <x:c r="G153" s="44" t="str">
        <x:v>2026-09-09</x:v>
      </x:c>
      <x:c r="H153" s="39" t="str">
        <x:v>Ativa</x:v>
      </x:c>
      <x:c r="I153" s="39" t="str">
        <x:v>Fonte pública; verificar novamente antes de outreach.</x:v>
      </x:c>
    </x:row>
    <x:row r="154" ht="40" customHeight="1">
      <x:c r="A154" s="39" t="str">
        <x:v>SRC00153</x:v>
      </x:c>
      <x:c r="B154" s="39" t="str">
        <x:v>https://www.project-a.com/team/</x:v>
      </x:c>
      <x:c r="C154" s="39" t="str">
        <x:v>www.project-a.com</x:v>
      </x:c>
      <x:c r="D154" s="39" t="str">
        <x:v>Perfil / equipa</x:v>
      </x:c>
      <x:c r="E154" s="39" t="str">
        <x:v>Pessoa</x:v>
      </x:c>
      <x:c r="F154" s="39" t="str">
        <x:v>PER0099</x:v>
      </x:c>
      <x:c r="G154" s="44" t="str">
        <x:v>2026-09-09</x:v>
      </x:c>
      <x:c r="H154" s="39" t="str">
        <x:v>Ativa</x:v>
      </x:c>
      <x:c r="I154" s="39" t="str">
        <x:v>Fonte pública; verificar novamente antes de outreach.</x:v>
      </x:c>
    </x:row>
    <x:row r="155" ht="40" customHeight="1">
      <x:c r="A155" s="39" t="str">
        <x:v>SRC00154</x:v>
      </x:c>
      <x:c r="B155" s="39" t="str">
        <x:v>https://www.project-a.com/team/</x:v>
      </x:c>
      <x:c r="C155" s="39" t="str">
        <x:v>www.project-a.com</x:v>
      </x:c>
      <x:c r="D155" s="39" t="str">
        <x:v>Perfil / equipa</x:v>
      </x:c>
      <x:c r="E155" s="39" t="str">
        <x:v>Pessoa</x:v>
      </x:c>
      <x:c r="F155" s="39" t="str">
        <x:v>PER0100</x:v>
      </x:c>
      <x:c r="G155" s="44" t="str">
        <x:v>2026-09-09</x:v>
      </x:c>
      <x:c r="H155" s="39" t="str">
        <x:v>Ativa</x:v>
      </x:c>
      <x:c r="I155" s="39" t="str">
        <x:v>Fonte pública; verificar novamente antes de outreach.</x:v>
      </x:c>
    </x:row>
    <x:row r="156" ht="40" customHeight="1">
      <x:c r="A156" s="39" t="str">
        <x:v>SRC00155</x:v>
      </x:c>
      <x:c r="B156" s="39" t="str">
        <x:v>https://www.project-a.com/team/</x:v>
      </x:c>
      <x:c r="C156" s="39" t="str">
        <x:v>www.project-a.com</x:v>
      </x:c>
      <x:c r="D156" s="39" t="str">
        <x:v>Perfil / equipa</x:v>
      </x:c>
      <x:c r="E156" s="39" t="str">
        <x:v>Pessoa</x:v>
      </x:c>
      <x:c r="F156" s="39" t="str">
        <x:v>PER0101</x:v>
      </x:c>
      <x:c r="G156" s="44" t="str">
        <x:v>2026-09-09</x:v>
      </x:c>
      <x:c r="H156" s="39" t="str">
        <x:v>Ativa</x:v>
      </x:c>
      <x:c r="I156" s="39" t="str">
        <x:v>Fonte pública; verificar novamente antes de outreach.</x:v>
      </x:c>
    </x:row>
    <x:row r="157" ht="40" customHeight="1">
      <x:c r="A157" s="39" t="str">
        <x:v>SRC00156</x:v>
      </x:c>
      <x:c r="B157" s="39" t="str">
        <x:v>https://www.dawncapital.com/team</x:v>
      </x:c>
      <x:c r="C157" s="39" t="str">
        <x:v>www.dawncapital.com</x:v>
      </x:c>
      <x:c r="D157" s="39" t="str">
        <x:v>Perfil / equipa</x:v>
      </x:c>
      <x:c r="E157" s="39" t="str">
        <x:v>Pessoa</x:v>
      </x:c>
      <x:c r="F157" s="39" t="str">
        <x:v>PER0102</x:v>
      </x:c>
      <x:c r="G157" s="44" t="str">
        <x:v>2026-09-09</x:v>
      </x:c>
      <x:c r="H157" s="39" t="str">
        <x:v>Ativa</x:v>
      </x:c>
      <x:c r="I157" s="39" t="str">
        <x:v>Fonte pública; verificar novamente antes de outreach.</x:v>
      </x:c>
    </x:row>
    <x:row r="158" ht="40" customHeight="1">
      <x:c r="A158" s="39" t="str">
        <x:v>SRC00157</x:v>
      </x:c>
      <x:c r="B158" s="39" t="str">
        <x:v>https://www.dawncapital.com/team</x:v>
      </x:c>
      <x:c r="C158" s="39" t="str">
        <x:v>www.dawncapital.com</x:v>
      </x:c>
      <x:c r="D158" s="39" t="str">
        <x:v>Perfil / equipa</x:v>
      </x:c>
      <x:c r="E158" s="39" t="str">
        <x:v>Pessoa</x:v>
      </x:c>
      <x:c r="F158" s="39" t="str">
        <x:v>PER0103</x:v>
      </x:c>
      <x:c r="G158" s="44" t="str">
        <x:v>2026-09-09</x:v>
      </x:c>
      <x:c r="H158" s="39" t="str">
        <x:v>Ativa</x:v>
      </x:c>
      <x:c r="I158" s="39" t="str">
        <x:v>Fonte pública; verificar novamente antes de outreach.</x:v>
      </x:c>
    </x:row>
    <x:row r="159" ht="40" customHeight="1">
      <x:c r="A159" s="39" t="str">
        <x:v>SRC00158</x:v>
      </x:c>
      <x:c r="B159" s="39" t="str">
        <x:v>https://www.dawncapital.com/team</x:v>
      </x:c>
      <x:c r="C159" s="39" t="str">
        <x:v>www.dawncapital.com</x:v>
      </x:c>
      <x:c r="D159" s="39" t="str">
        <x:v>Perfil / equipa</x:v>
      </x:c>
      <x:c r="E159" s="39" t="str">
        <x:v>Pessoa</x:v>
      </x:c>
      <x:c r="F159" s="39" t="str">
        <x:v>PER0104</x:v>
      </x:c>
      <x:c r="G159" s="44" t="str">
        <x:v>2026-09-09</x:v>
      </x:c>
      <x:c r="H159" s="39" t="str">
        <x:v>Ativa</x:v>
      </x:c>
      <x:c r="I159" s="39" t="str">
        <x:v>Fonte pública; verificar novamente antes de outreach.</x:v>
      </x:c>
    </x:row>
    <x:row r="160" ht="40" customHeight="1">
      <x:c r="A160" s="39" t="str">
        <x:v>SRC00159</x:v>
      </x:c>
      <x:c r="B160" s="39" t="str">
        <x:v>https://www.dawncapital.com/team</x:v>
      </x:c>
      <x:c r="C160" s="39" t="str">
        <x:v>www.dawncapital.com</x:v>
      </x:c>
      <x:c r="D160" s="39" t="str">
        <x:v>Perfil / equipa</x:v>
      </x:c>
      <x:c r="E160" s="39" t="str">
        <x:v>Pessoa</x:v>
      </x:c>
      <x:c r="F160" s="39" t="str">
        <x:v>PER0105</x:v>
      </x:c>
      <x:c r="G160" s="44" t="str">
        <x:v>2026-09-09</x:v>
      </x:c>
      <x:c r="H160" s="39" t="str">
        <x:v>Ativa</x:v>
      </x:c>
      <x:c r="I160" s="39" t="str">
        <x:v>Fonte pública; verificar novamente antes de outreach.</x:v>
      </x:c>
    </x:row>
    <x:row r="161" ht="40" customHeight="1">
      <x:c r="A161" s="39" t="str">
        <x:v>SRC00160</x:v>
      </x:c>
      <x:c r="B161" s="39" t="str">
        <x:v>https://www.dawncapital.com/team</x:v>
      </x:c>
      <x:c r="C161" s="39" t="str">
        <x:v>www.dawncapital.com</x:v>
      </x:c>
      <x:c r="D161" s="39" t="str">
        <x:v>Perfil / equipa</x:v>
      </x:c>
      <x:c r="E161" s="39" t="str">
        <x:v>Pessoa</x:v>
      </x:c>
      <x:c r="F161" s="39" t="str">
        <x:v>PER0106</x:v>
      </x:c>
      <x:c r="G161" s="44" t="str">
        <x:v>2026-09-09</x:v>
      </x:c>
      <x:c r="H161" s="39" t="str">
        <x:v>Ativa</x:v>
      </x:c>
      <x:c r="I161" s="39" t="str">
        <x:v>Fonte pública; verificar novamente antes de outreach.</x:v>
      </x:c>
    </x:row>
    <x:row r="162" ht="40" customHeight="1">
      <x:c r="A162" s="39" t="str">
        <x:v>SRC00161</x:v>
      </x:c>
      <x:c r="B162" s="39" t="str">
        <x:v>https://www.dawncapital.com/team</x:v>
      </x:c>
      <x:c r="C162" s="39" t="str">
        <x:v>www.dawncapital.com</x:v>
      </x:c>
      <x:c r="D162" s="39" t="str">
        <x:v>Perfil / equipa</x:v>
      </x:c>
      <x:c r="E162" s="39" t="str">
        <x:v>Pessoa</x:v>
      </x:c>
      <x:c r="F162" s="39" t="str">
        <x:v>PER0107</x:v>
      </x:c>
      <x:c r="G162" s="44" t="str">
        <x:v>2026-09-09</x:v>
      </x:c>
      <x:c r="H162" s="39" t="str">
        <x:v>Ativa</x:v>
      </x:c>
      <x:c r="I162" s="39" t="str">
        <x:v>Fonte pública; verificar novamente antes de outreach.</x:v>
      </x:c>
    </x:row>
    <x:row r="163" ht="40" customHeight="1">
      <x:c r="A163" s="39" t="str">
        <x:v>SRC00162</x:v>
      </x:c>
      <x:c r="B163" s="39" t="str">
        <x:v>https://www.dawncapital.com/team</x:v>
      </x:c>
      <x:c r="C163" s="39" t="str">
        <x:v>www.dawncapital.com</x:v>
      </x:c>
      <x:c r="D163" s="39" t="str">
        <x:v>Perfil / equipa</x:v>
      </x:c>
      <x:c r="E163" s="39" t="str">
        <x:v>Pessoa</x:v>
      </x:c>
      <x:c r="F163" s="39" t="str">
        <x:v>PER0108</x:v>
      </x:c>
      <x:c r="G163" s="44" t="str">
        <x:v>2026-09-09</x:v>
      </x:c>
      <x:c r="H163" s="39" t="str">
        <x:v>Ativa</x:v>
      </x:c>
      <x:c r="I163" s="39" t="str">
        <x:v>Fonte pública; verificar novamente antes de outreach.</x:v>
      </x:c>
    </x:row>
    <x:row r="164" ht="40" customHeight="1">
      <x:c r="A164" s="39" t="str">
        <x:v>SRC00163</x:v>
      </x:c>
      <x:c r="B164" s="39" t="str">
        <x:v>https://www.dawncapital.com/team</x:v>
      </x:c>
      <x:c r="C164" s="39" t="str">
        <x:v>www.dawncapital.com</x:v>
      </x:c>
      <x:c r="D164" s="39" t="str">
        <x:v>Perfil / equipa</x:v>
      </x:c>
      <x:c r="E164" s="39" t="str">
        <x:v>Pessoa</x:v>
      </x:c>
      <x:c r="F164" s="39" t="str">
        <x:v>PER0109</x:v>
      </x:c>
      <x:c r="G164" s="44" t="str">
        <x:v>2026-09-09</x:v>
      </x:c>
      <x:c r="H164" s="39" t="str">
        <x:v>Ativa</x:v>
      </x:c>
      <x:c r="I164" s="39" t="str">
        <x:v>Fonte pública; verificar novamente antes de outreach.</x:v>
      </x:c>
    </x:row>
    <x:row r="165" ht="40" customHeight="1">
      <x:c r="A165" s="39" t="str">
        <x:v>SRC00164</x:v>
      </x:c>
      <x:c r="B165" s="39" t="str">
        <x:v>https://www.dawncapital.com/team</x:v>
      </x:c>
      <x:c r="C165" s="39" t="str">
        <x:v>www.dawncapital.com</x:v>
      </x:c>
      <x:c r="D165" s="39" t="str">
        <x:v>Perfil / equipa</x:v>
      </x:c>
      <x:c r="E165" s="39" t="str">
        <x:v>Pessoa</x:v>
      </x:c>
      <x:c r="F165" s="39" t="str">
        <x:v>PER0110</x:v>
      </x:c>
      <x:c r="G165" s="44" t="str">
        <x:v>2026-09-09</x:v>
      </x:c>
      <x:c r="H165" s="39" t="str">
        <x:v>Ativa</x:v>
      </x:c>
      <x:c r="I165" s="39" t="str">
        <x:v>Fonte pública; verificar novamente antes de outreach.</x:v>
      </x:c>
    </x:row>
    <x:row r="166" ht="40" customHeight="1">
      <x:c r="A166" s="39" t="str">
        <x:v>SRC00165</x:v>
      </x:c>
      <x:c r="B166" s="39" t="str">
        <x:v>https://www.dawncapital.com/team</x:v>
      </x:c>
      <x:c r="C166" s="39" t="str">
        <x:v>www.dawncapital.com</x:v>
      </x:c>
      <x:c r="D166" s="39" t="str">
        <x:v>Perfil / equipa</x:v>
      </x:c>
      <x:c r="E166" s="39" t="str">
        <x:v>Pessoa</x:v>
      </x:c>
      <x:c r="F166" s="39" t="str">
        <x:v>PER0111</x:v>
      </x:c>
      <x:c r="G166" s="44" t="str">
        <x:v>2026-09-09</x:v>
      </x:c>
      <x:c r="H166" s="39" t="str">
        <x:v>Ativa</x:v>
      </x:c>
      <x:c r="I166" s="39" t="str">
        <x:v>Fonte pública; verificar novamente antes de outreach.</x:v>
      </x:c>
    </x:row>
    <x:row r="167" ht="40" customHeight="1">
      <x:c r="A167" s="39" t="str">
        <x:v>SRC00166</x:v>
      </x:c>
      <x:c r="B167" s="39" t="str">
        <x:v>https://octopusventures.com/</x:v>
      </x:c>
      <x:c r="C167" s="39" t="str">
        <x:v>octopusventures.com</x:v>
      </x:c>
      <x:c r="D167" s="39" t="str">
        <x:v>Perfil / equipa</x:v>
      </x:c>
      <x:c r="E167" s="39" t="str">
        <x:v>Pessoa</x:v>
      </x:c>
      <x:c r="F167" s="39" t="str">
        <x:v>PER0112</x:v>
      </x:c>
      <x:c r="G167" s="44" t="str">
        <x:v>2026-09-09</x:v>
      </x:c>
      <x:c r="H167" s="39" t="str">
        <x:v>Ativa</x:v>
      </x:c>
      <x:c r="I167" s="39" t="str">
        <x:v>Fonte pública; verificar novamente antes de outreach.</x:v>
      </x:c>
    </x:row>
    <x:row r="168" ht="40" customHeight="1">
      <x:c r="A168" s="39" t="str">
        <x:v>SRC00167</x:v>
      </x:c>
      <x:c r="B168" s="39" t="str">
        <x:v>https://octopusventures.com/</x:v>
      </x:c>
      <x:c r="C168" s="39" t="str">
        <x:v>octopusventures.com</x:v>
      </x:c>
      <x:c r="D168" s="39" t="str">
        <x:v>Perfil / equipa</x:v>
      </x:c>
      <x:c r="E168" s="39" t="str">
        <x:v>Pessoa</x:v>
      </x:c>
      <x:c r="F168" s="39" t="str">
        <x:v>PER0113</x:v>
      </x:c>
      <x:c r="G168" s="44" t="str">
        <x:v>2026-09-09</x:v>
      </x:c>
      <x:c r="H168" s="39" t="str">
        <x:v>Ativa</x:v>
      </x:c>
      <x:c r="I168" s="39" t="str">
        <x:v>Fonte pública; verificar novamente antes de outreach.</x:v>
      </x:c>
    </x:row>
    <x:row r="169" ht="40" customHeight="1">
      <x:c r="A169" s="39" t="str">
        <x:v>SRC00168</x:v>
      </x:c>
      <x:c r="B169" s="39" t="str">
        <x:v>https://octopusventures.com/</x:v>
      </x:c>
      <x:c r="C169" s="39" t="str">
        <x:v>octopusventures.com</x:v>
      </x:c>
      <x:c r="D169" s="39" t="str">
        <x:v>Perfil / equipa</x:v>
      </x:c>
      <x:c r="E169" s="39" t="str">
        <x:v>Pessoa</x:v>
      </x:c>
      <x:c r="F169" s="39" t="str">
        <x:v>PER0114</x:v>
      </x:c>
      <x:c r="G169" s="44" t="str">
        <x:v>2026-09-09</x:v>
      </x:c>
      <x:c r="H169" s="39" t="str">
        <x:v>Ativa</x:v>
      </x:c>
      <x:c r="I169" s="39" t="str">
        <x:v>Fonte pública; verificar novamente antes de outreach.</x:v>
      </x:c>
    </x:row>
    <x:row r="170" ht="40" customHeight="1">
      <x:c r="A170" s="39" t="str">
        <x:v>SRC00169</x:v>
      </x:c>
      <x:c r="B170" s="39" t="str">
        <x:v>https://octopusventures.com/</x:v>
      </x:c>
      <x:c r="C170" s="39" t="str">
        <x:v>octopusventures.com</x:v>
      </x:c>
      <x:c r="D170" s="39" t="str">
        <x:v>Perfil / equipa</x:v>
      </x:c>
      <x:c r="E170" s="39" t="str">
        <x:v>Pessoa</x:v>
      </x:c>
      <x:c r="F170" s="39" t="str">
        <x:v>PER0115</x:v>
      </x:c>
      <x:c r="G170" s="44" t="str">
        <x:v>2026-09-09</x:v>
      </x:c>
      <x:c r="H170" s="39" t="str">
        <x:v>Ativa</x:v>
      </x:c>
      <x:c r="I170" s="39" t="str">
        <x:v>Fonte pública; verificar novamente antes de outreach.</x:v>
      </x:c>
    </x:row>
    <x:row r="171" ht="40" customHeight="1">
      <x:c r="A171" s="39" t="str">
        <x:v>SRC00170</x:v>
      </x:c>
      <x:c r="B171" s="39" t="str">
        <x:v>https://octopusventures.com/</x:v>
      </x:c>
      <x:c r="C171" s="39" t="str">
        <x:v>octopusventures.com</x:v>
      </x:c>
      <x:c r="D171" s="39" t="str">
        <x:v>Perfil / equipa</x:v>
      </x:c>
      <x:c r="E171" s="39" t="str">
        <x:v>Pessoa</x:v>
      </x:c>
      <x:c r="F171" s="39" t="str">
        <x:v>PER0116</x:v>
      </x:c>
      <x:c r="G171" s="44" t="str">
        <x:v>2026-09-09</x:v>
      </x:c>
      <x:c r="H171" s="39" t="str">
        <x:v>Ativa</x:v>
      </x:c>
      <x:c r="I171" s="39" t="str">
        <x:v>Fonte pública; verificar novamente antes de outreach.</x:v>
      </x:c>
    </x:row>
    <x:row r="172" ht="40" customHeight="1">
      <x:c r="A172" s="39" t="str">
        <x:v>SRC00171</x:v>
      </x:c>
      <x:c r="B172" s="39" t="str">
        <x:v>https://octopusventures.com/</x:v>
      </x:c>
      <x:c r="C172" s="39" t="str">
        <x:v>octopusventures.com</x:v>
      </x:c>
      <x:c r="D172" s="39" t="str">
        <x:v>Perfil / equipa</x:v>
      </x:c>
      <x:c r="E172" s="39" t="str">
        <x:v>Pessoa</x:v>
      </x:c>
      <x:c r="F172" s="39" t="str">
        <x:v>PER0117</x:v>
      </x:c>
      <x:c r="G172" s="44" t="str">
        <x:v>2026-09-09</x:v>
      </x:c>
      <x:c r="H172" s="39" t="str">
        <x:v>Ativa</x:v>
      </x:c>
      <x:c r="I172" s="39" t="str">
        <x:v>Fonte pública; verificar novamente antes de outreach.</x:v>
      </x:c>
    </x:row>
    <x:row r="173" ht="40" customHeight="1">
      <x:c r="A173" s="39" t="str">
        <x:v>SRC00172</x:v>
      </x:c>
      <x:c r="B173" s="39" t="str">
        <x:v>https://octopusventures.com/</x:v>
      </x:c>
      <x:c r="C173" s="39" t="str">
        <x:v>octopusventures.com</x:v>
      </x:c>
      <x:c r="D173" s="39" t="str">
        <x:v>Perfil / equipa</x:v>
      </x:c>
      <x:c r="E173" s="39" t="str">
        <x:v>Pessoa</x:v>
      </x:c>
      <x:c r="F173" s="39" t="str">
        <x:v>PER0118</x:v>
      </x:c>
      <x:c r="G173" s="44" t="str">
        <x:v>2026-09-09</x:v>
      </x:c>
      <x:c r="H173" s="39" t="str">
        <x:v>Ativa</x:v>
      </x:c>
      <x:c r="I173" s="39" t="str">
        <x:v>Fonte pública; verificar novamente antes de outreach.</x:v>
      </x:c>
    </x:row>
    <x:row r="174" ht="40" customHeight="1">
      <x:c r="A174" s="39" t="str">
        <x:v>SRC00173</x:v>
      </x:c>
      <x:c r="B174" s="39" t="str">
        <x:v>https://octopusventures.com/</x:v>
      </x:c>
      <x:c r="C174" s="39" t="str">
        <x:v>octopusventures.com</x:v>
      </x:c>
      <x:c r="D174" s="39" t="str">
        <x:v>Perfil / equipa</x:v>
      </x:c>
      <x:c r="E174" s="39" t="str">
        <x:v>Pessoa</x:v>
      </x:c>
      <x:c r="F174" s="39" t="str">
        <x:v>PER0119</x:v>
      </x:c>
      <x:c r="G174" s="44" t="str">
        <x:v>2026-09-09</x:v>
      </x:c>
      <x:c r="H174" s="39" t="str">
        <x:v>Ativa</x:v>
      </x:c>
      <x:c r="I174" s="39" t="str">
        <x:v>Fonte pública; verificar novamente antes de outreach.</x:v>
      </x:c>
    </x:row>
    <x:row r="175" ht="40" customHeight="1">
      <x:c r="A175" s="39" t="str">
        <x:v>SRC00174</x:v>
      </x:c>
      <x:c r="B175" s="39" t="str">
        <x:v>https://www.notion.vc/library</x:v>
      </x:c>
      <x:c r="C175" s="39" t="str">
        <x:v>www.notion.vc</x:v>
      </x:c>
      <x:c r="D175" s="39" t="str">
        <x:v>Perfil / equipa</x:v>
      </x:c>
      <x:c r="E175" s="39" t="str">
        <x:v>Pessoa</x:v>
      </x:c>
      <x:c r="F175" s="39" t="str">
        <x:v>PER0120</x:v>
      </x:c>
      <x:c r="G175" s="44" t="str">
        <x:v>2026-09-09</x:v>
      </x:c>
      <x:c r="H175" s="39" t="str">
        <x:v>Ativa</x:v>
      </x:c>
      <x:c r="I175" s="39" t="str">
        <x:v>Fonte pública; verificar novamente antes de outreach.</x:v>
      </x:c>
    </x:row>
    <x:row r="176" ht="40" customHeight="1">
      <x:c r="A176" s="39" t="str">
        <x:v>SRC00175</x:v>
      </x:c>
      <x:c r="B176" s="39" t="str">
        <x:v>https://www.notion.vc/library</x:v>
      </x:c>
      <x:c r="C176" s="39" t="str">
        <x:v>www.notion.vc</x:v>
      </x:c>
      <x:c r="D176" s="39" t="str">
        <x:v>Perfil / equipa</x:v>
      </x:c>
      <x:c r="E176" s="39" t="str">
        <x:v>Pessoa</x:v>
      </x:c>
      <x:c r="F176" s="39" t="str">
        <x:v>PER0121</x:v>
      </x:c>
      <x:c r="G176" s="44" t="str">
        <x:v>2026-09-09</x:v>
      </x:c>
      <x:c r="H176" s="39" t="str">
        <x:v>Ativa</x:v>
      </x:c>
      <x:c r="I176" s="39" t="str">
        <x:v>Fonte pública; verificar novamente antes de outreach.</x:v>
      </x:c>
    </x:row>
    <x:row r="177" ht="40" customHeight="1">
      <x:c r="A177" s="39" t="str">
        <x:v>SRC00176</x:v>
      </x:c>
      <x:c r="B177" s="39" t="str">
        <x:v>https://www.notion.vc/library</x:v>
      </x:c>
      <x:c r="C177" s="39" t="str">
        <x:v>www.notion.vc</x:v>
      </x:c>
      <x:c r="D177" s="39" t="str">
        <x:v>Perfil / equipa</x:v>
      </x:c>
      <x:c r="E177" s="39" t="str">
        <x:v>Pessoa</x:v>
      </x:c>
      <x:c r="F177" s="39" t="str">
        <x:v>PER0122</x:v>
      </x:c>
      <x:c r="G177" s="44" t="str">
        <x:v>2026-09-09</x:v>
      </x:c>
      <x:c r="H177" s="39" t="str">
        <x:v>Ativa</x:v>
      </x:c>
      <x:c r="I177" s="39" t="str">
        <x:v>Fonte pública; verificar novamente antes de outreach.</x:v>
      </x:c>
    </x:row>
    <x:row r="178" ht="40" customHeight="1">
      <x:c r="A178" s="39" t="str">
        <x:v>SRC00177</x:v>
      </x:c>
      <x:c r="B178" s="39" t="str">
        <x:v>https://www.notion.vc/library</x:v>
      </x:c>
      <x:c r="C178" s="39" t="str">
        <x:v>www.notion.vc</x:v>
      </x:c>
      <x:c r="D178" s="39" t="str">
        <x:v>Perfil / equipa</x:v>
      </x:c>
      <x:c r="E178" s="39" t="str">
        <x:v>Pessoa</x:v>
      </x:c>
      <x:c r="F178" s="39" t="str">
        <x:v>PER0123</x:v>
      </x:c>
      <x:c r="G178" s="44" t="str">
        <x:v>2026-09-09</x:v>
      </x:c>
      <x:c r="H178" s="39" t="str">
        <x:v>Ativa</x:v>
      </x:c>
      <x:c r="I178" s="39" t="str">
        <x:v>Fonte pública; verificar novamente antes de outreach.</x:v>
      </x:c>
    </x:row>
    <x:row r="179" ht="40" customHeight="1">
      <x:c r="A179" s="39" t="str">
        <x:v>SRC00178</x:v>
      </x:c>
      <x:c r="B179" s="39" t="str">
        <x:v>https://www.notion.vc/library</x:v>
      </x:c>
      <x:c r="C179" s="39" t="str">
        <x:v>www.notion.vc</x:v>
      </x:c>
      <x:c r="D179" s="39" t="str">
        <x:v>Perfil / equipa</x:v>
      </x:c>
      <x:c r="E179" s="39" t="str">
        <x:v>Pessoa</x:v>
      </x:c>
      <x:c r="F179" s="39" t="str">
        <x:v>PER0124</x:v>
      </x:c>
      <x:c r="G179" s="44" t="str">
        <x:v>2026-09-09</x:v>
      </x:c>
      <x:c r="H179" s="39" t="str">
        <x:v>Ativa</x:v>
      </x:c>
      <x:c r="I179" s="39" t="str">
        <x:v>Fonte pública; verificar novamente antes de outreach.</x:v>
      </x:c>
    </x:row>
    <x:row r="180" ht="40" customHeight="1">
      <x:c r="A180" s="39" t="str">
        <x:v>SRC00179</x:v>
      </x:c>
      <x:c r="B180" s="39" t="str">
        <x:v>https://www.notion.vc/library</x:v>
      </x:c>
      <x:c r="C180" s="39" t="str">
        <x:v>www.notion.vc</x:v>
      </x:c>
      <x:c r="D180" s="39" t="str">
        <x:v>Perfil / equipa</x:v>
      </x:c>
      <x:c r="E180" s="39" t="str">
        <x:v>Pessoa</x:v>
      </x:c>
      <x:c r="F180" s="39" t="str">
        <x:v>PER0125</x:v>
      </x:c>
      <x:c r="G180" s="44" t="str">
        <x:v>2026-09-09</x:v>
      </x:c>
      <x:c r="H180" s="39" t="str">
        <x:v>Ativa</x:v>
      </x:c>
      <x:c r="I180" s="39" t="str">
        <x:v>Fonte pública; verificar novamente antes de outreach.</x:v>
      </x:c>
    </x:row>
    <x:row r="181" ht="40" customHeight="1">
      <x:c r="A181" s="39" t="str">
        <x:v>SRC00180</x:v>
      </x:c>
      <x:c r="B181" s="39" t="str">
        <x:v>https://www.nautacapital.com/team</x:v>
      </x:c>
      <x:c r="C181" s="39" t="str">
        <x:v>www.nautacapital.com</x:v>
      </x:c>
      <x:c r="D181" s="39" t="str">
        <x:v>Perfil / equipa</x:v>
      </x:c>
      <x:c r="E181" s="39" t="str">
        <x:v>Pessoa</x:v>
      </x:c>
      <x:c r="F181" s="39" t="str">
        <x:v>PER0126</x:v>
      </x:c>
      <x:c r="G181" s="44" t="str">
        <x:v>2026-09-09</x:v>
      </x:c>
      <x:c r="H181" s="39" t="str">
        <x:v>Ativa</x:v>
      </x:c>
      <x:c r="I181" s="39" t="str">
        <x:v>Fonte pública; verificar novamente antes de outreach.</x:v>
      </x:c>
    </x:row>
    <x:row r="182" ht="40" customHeight="1">
      <x:c r="A182" s="39" t="str">
        <x:v>SRC00181</x:v>
      </x:c>
      <x:c r="B182" s="39" t="str">
        <x:v>https://www.nautacapital.com/team</x:v>
      </x:c>
      <x:c r="C182" s="39" t="str">
        <x:v>www.nautacapital.com</x:v>
      </x:c>
      <x:c r="D182" s="39" t="str">
        <x:v>Perfil / equipa</x:v>
      </x:c>
      <x:c r="E182" s="39" t="str">
        <x:v>Pessoa</x:v>
      </x:c>
      <x:c r="F182" s="39" t="str">
        <x:v>PER0127</x:v>
      </x:c>
      <x:c r="G182" s="44" t="str">
        <x:v>2026-09-09</x:v>
      </x:c>
      <x:c r="H182" s="39" t="str">
        <x:v>Ativa</x:v>
      </x:c>
      <x:c r="I182" s="39" t="str">
        <x:v>Fonte pública; verificar novamente antes de outreach.</x:v>
      </x:c>
    </x:row>
    <x:row r="183" ht="40" customHeight="1">
      <x:c r="A183" s="39" t="str">
        <x:v>SRC00182</x:v>
      </x:c>
      <x:c r="B183" s="39" t="str">
        <x:v>https://www.nautacapital.com/team</x:v>
      </x:c>
      <x:c r="C183" s="39" t="str">
        <x:v>www.nautacapital.com</x:v>
      </x:c>
      <x:c r="D183" s="39" t="str">
        <x:v>Perfil / equipa</x:v>
      </x:c>
      <x:c r="E183" s="39" t="str">
        <x:v>Pessoa</x:v>
      </x:c>
      <x:c r="F183" s="39" t="str">
        <x:v>PER0128</x:v>
      </x:c>
      <x:c r="G183" s="44" t="str">
        <x:v>2026-09-09</x:v>
      </x:c>
      <x:c r="H183" s="39" t="str">
        <x:v>Ativa</x:v>
      </x:c>
      <x:c r="I183" s="39" t="str">
        <x:v>Fonte pública; verificar novamente antes de outreach.</x:v>
      </x:c>
    </x:row>
    <x:row r="184" ht="40" customHeight="1">
      <x:c r="A184" s="39" t="str">
        <x:v>SRC00183</x:v>
      </x:c>
      <x:c r="B184" s="39" t="str">
        <x:v>https://www.nautacapital.com/team</x:v>
      </x:c>
      <x:c r="C184" s="39" t="str">
        <x:v>www.nautacapital.com</x:v>
      </x:c>
      <x:c r="D184" s="39" t="str">
        <x:v>Perfil / equipa</x:v>
      </x:c>
      <x:c r="E184" s="39" t="str">
        <x:v>Pessoa</x:v>
      </x:c>
      <x:c r="F184" s="39" t="str">
        <x:v>PER0129</x:v>
      </x:c>
      <x:c r="G184" s="44" t="str">
        <x:v>2026-09-09</x:v>
      </x:c>
      <x:c r="H184" s="39" t="str">
        <x:v>Ativa</x:v>
      </x:c>
      <x:c r="I184" s="39" t="str">
        <x:v>Fonte pública; verificar novamente antes de outreach.</x:v>
      </x:c>
    </x:row>
    <x:row r="185" ht="40" customHeight="1">
      <x:c r="A185" s="39" t="str">
        <x:v>SRC00184</x:v>
      </x:c>
      <x:c r="B185" s="39" t="str">
        <x:v>https://www.nautacapital.com/team</x:v>
      </x:c>
      <x:c r="C185" s="39" t="str">
        <x:v>www.nautacapital.com</x:v>
      </x:c>
      <x:c r="D185" s="39" t="str">
        <x:v>Perfil / equipa</x:v>
      </x:c>
      <x:c r="E185" s="39" t="str">
        <x:v>Pessoa</x:v>
      </x:c>
      <x:c r="F185" s="39" t="str">
        <x:v>PER0130</x:v>
      </x:c>
      <x:c r="G185" s="44" t="str">
        <x:v>2026-09-09</x:v>
      </x:c>
      <x:c r="H185" s="39" t="str">
        <x:v>Ativa</x:v>
      </x:c>
      <x:c r="I185" s="39" t="str">
        <x:v>Fonte pública; verificar novamente antes de outreach.</x:v>
      </x:c>
    </x:row>
    <x:row r="186" ht="40" customHeight="1">
      <x:c r="A186" s="39" t="str">
        <x:v>SRC00185</x:v>
      </x:c>
      <x:c r="B186" s="39" t="str">
        <x:v>https://www.nautacapital.com/team</x:v>
      </x:c>
      <x:c r="C186" s="39" t="str">
        <x:v>www.nautacapital.com</x:v>
      </x:c>
      <x:c r="D186" s="39" t="str">
        <x:v>Perfil / equipa</x:v>
      </x:c>
      <x:c r="E186" s="39" t="str">
        <x:v>Pessoa</x:v>
      </x:c>
      <x:c r="F186" s="39" t="str">
        <x:v>PER0131</x:v>
      </x:c>
      <x:c r="G186" s="44" t="str">
        <x:v>2026-09-09</x:v>
      </x:c>
      <x:c r="H186" s="39" t="str">
        <x:v>Ativa</x:v>
      </x:c>
      <x:c r="I186" s="39" t="str">
        <x:v>Fonte pública; verificar novamente antes de outreach.</x:v>
      </x:c>
    </x:row>
    <x:row r="187" ht="40" customHeight="1">
      <x:c r="A187" s="39" t="str">
        <x:v>SRC00186</x:v>
      </x:c>
      <x:c r="B187" s="39" t="str">
        <x:v>https://www.nautacapital.com/team</x:v>
      </x:c>
      <x:c r="C187" s="39" t="str">
        <x:v>www.nautacapital.com</x:v>
      </x:c>
      <x:c r="D187" s="39" t="str">
        <x:v>Perfil / equipa</x:v>
      </x:c>
      <x:c r="E187" s="39" t="str">
        <x:v>Pessoa</x:v>
      </x:c>
      <x:c r="F187" s="39" t="str">
        <x:v>PER0132</x:v>
      </x:c>
      <x:c r="G187" s="44" t="str">
        <x:v>2026-09-09</x:v>
      </x:c>
      <x:c r="H187" s="39" t="str">
        <x:v>Ativa</x:v>
      </x:c>
      <x:c r="I187" s="39" t="str">
        <x:v>Fonte pública; verificar novamente antes de outreach.</x:v>
      </x:c>
    </x:row>
    <x:row r="188" ht="40" customHeight="1">
      <x:c r="A188" s="39" t="str">
        <x:v>SRC00187</x:v>
      </x:c>
      <x:c r="B188" s="39" t="str">
        <x:v>https://www.nautacapital.com/team</x:v>
      </x:c>
      <x:c r="C188" s="39" t="str">
        <x:v>www.nautacapital.com</x:v>
      </x:c>
      <x:c r="D188" s="39" t="str">
        <x:v>Perfil / equipa</x:v>
      </x:c>
      <x:c r="E188" s="39" t="str">
        <x:v>Pessoa</x:v>
      </x:c>
      <x:c r="F188" s="39" t="str">
        <x:v>PER0133</x:v>
      </x:c>
      <x:c r="G188" s="44" t="str">
        <x:v>2026-09-09</x:v>
      </x:c>
      <x:c r="H188" s="39" t="str">
        <x:v>Ativa</x:v>
      </x:c>
      <x:c r="I188" s="39" t="str">
        <x:v>Fonte pública; verificar novamente antes de outreach.</x:v>
      </x:c>
    </x:row>
    <x:row r="189" ht="40" customHeight="1">
      <x:c r="A189" s="39" t="str">
        <x:v>SRC00188</x:v>
      </x:c>
      <x:c r="B189" s="39" t="str">
        <x:v>https://www.nautacapital.com/team</x:v>
      </x:c>
      <x:c r="C189" s="39" t="str">
        <x:v>www.nautacapital.com</x:v>
      </x:c>
      <x:c r="D189" s="39" t="str">
        <x:v>Perfil / equipa</x:v>
      </x:c>
      <x:c r="E189" s="39" t="str">
        <x:v>Pessoa</x:v>
      </x:c>
      <x:c r="F189" s="39" t="str">
        <x:v>PER0134</x:v>
      </x:c>
      <x:c r="G189" s="44" t="str">
        <x:v>2026-09-09</x:v>
      </x:c>
      <x:c r="H189" s="39" t="str">
        <x:v>Ativa</x:v>
      </x:c>
      <x:c r="I189" s="39" t="str">
        <x:v>Fonte pública; verificar novamente antes de outreach.</x:v>
      </x:c>
    </x:row>
    <x:row r="190" ht="40" customHeight="1">
      <x:c r="A190" s="39" t="str">
        <x:v>SRC00189</x:v>
      </x:c>
      <x:c r="B190" s="39" t="str">
        <x:v>https://www.kfund.vc/team</x:v>
      </x:c>
      <x:c r="C190" s="39" t="str">
        <x:v>www.kfund.vc</x:v>
      </x:c>
      <x:c r="D190" s="39" t="str">
        <x:v>Perfil / equipa</x:v>
      </x:c>
      <x:c r="E190" s="39" t="str">
        <x:v>Pessoa</x:v>
      </x:c>
      <x:c r="F190" s="39" t="str">
        <x:v>PER0135</x:v>
      </x:c>
      <x:c r="G190" s="44" t="str">
        <x:v>2026-09-09</x:v>
      </x:c>
      <x:c r="H190" s="39" t="str">
        <x:v>Ativa</x:v>
      </x:c>
      <x:c r="I190" s="39" t="str">
        <x:v>Fonte pública; verificar novamente antes de outreach.</x:v>
      </x:c>
    </x:row>
    <x:row r="191" ht="40" customHeight="1">
      <x:c r="A191" s="39" t="str">
        <x:v>SRC00190</x:v>
      </x:c>
      <x:c r="B191" s="39" t="str">
        <x:v>https://www.kfund.vc/team</x:v>
      </x:c>
      <x:c r="C191" s="39" t="str">
        <x:v>www.kfund.vc</x:v>
      </x:c>
      <x:c r="D191" s="39" t="str">
        <x:v>Perfil / equipa</x:v>
      </x:c>
      <x:c r="E191" s="39" t="str">
        <x:v>Pessoa</x:v>
      </x:c>
      <x:c r="F191" s="39" t="str">
        <x:v>PER0136</x:v>
      </x:c>
      <x:c r="G191" s="44" t="str">
        <x:v>2026-09-09</x:v>
      </x:c>
      <x:c r="H191" s="39" t="str">
        <x:v>Ativa</x:v>
      </x:c>
      <x:c r="I191" s="39" t="str">
        <x:v>Fonte pública; verificar novamente antes de outreach.</x:v>
      </x:c>
    </x:row>
    <x:row r="192" ht="40" customHeight="1">
      <x:c r="A192" s="39" t="str">
        <x:v>SRC00191</x:v>
      </x:c>
      <x:c r="B192" s="39" t="str">
        <x:v>https://www.kfund.vc/team</x:v>
      </x:c>
      <x:c r="C192" s="39" t="str">
        <x:v>www.kfund.vc</x:v>
      </x:c>
      <x:c r="D192" s="39" t="str">
        <x:v>Perfil / equipa</x:v>
      </x:c>
      <x:c r="E192" s="39" t="str">
        <x:v>Pessoa</x:v>
      </x:c>
      <x:c r="F192" s="39" t="str">
        <x:v>PER0137</x:v>
      </x:c>
      <x:c r="G192" s="44" t="str">
        <x:v>2026-09-09</x:v>
      </x:c>
      <x:c r="H192" s="39" t="str">
        <x:v>Ativa</x:v>
      </x:c>
      <x:c r="I192" s="39" t="str">
        <x:v>Fonte pública; verificar novamente antes de outreach.</x:v>
      </x:c>
    </x:row>
    <x:row r="193" ht="40" customHeight="1">
      <x:c r="A193" s="39" t="str">
        <x:v>SRC00192</x:v>
      </x:c>
      <x:c r="B193" s="39" t="str">
        <x:v>https://www.kfund.vc/team</x:v>
      </x:c>
      <x:c r="C193" s="39" t="str">
        <x:v>www.kfund.vc</x:v>
      </x:c>
      <x:c r="D193" s="39" t="str">
        <x:v>Perfil / equipa</x:v>
      </x:c>
      <x:c r="E193" s="39" t="str">
        <x:v>Pessoa</x:v>
      </x:c>
      <x:c r="F193" s="39" t="str">
        <x:v>PER0138</x:v>
      </x:c>
      <x:c r="G193" s="44" t="str">
        <x:v>2026-09-09</x:v>
      </x:c>
      <x:c r="H193" s="39" t="str">
        <x:v>Ativa</x:v>
      </x:c>
      <x:c r="I193" s="39" t="str">
        <x:v>Fonte pública; verificar novamente antes de outreach.</x:v>
      </x:c>
    </x:row>
    <x:row r="194" ht="40" customHeight="1">
      <x:c r="A194" s="39" t="str">
        <x:v>SRC00193</x:v>
      </x:c>
      <x:c r="B194" s="39" t="str">
        <x:v>https://www.kfund.vc/team</x:v>
      </x:c>
      <x:c r="C194" s="39" t="str">
        <x:v>www.kfund.vc</x:v>
      </x:c>
      <x:c r="D194" s="39" t="str">
        <x:v>Perfil / equipa</x:v>
      </x:c>
      <x:c r="E194" s="39" t="str">
        <x:v>Pessoa</x:v>
      </x:c>
      <x:c r="F194" s="39" t="str">
        <x:v>PER0139</x:v>
      </x:c>
      <x:c r="G194" s="44" t="str">
        <x:v>2026-09-09</x:v>
      </x:c>
      <x:c r="H194" s="39" t="str">
        <x:v>Ativa</x:v>
      </x:c>
      <x:c r="I194" s="39" t="str">
        <x:v>Fonte pública; verificar novamente antes de outreach.</x:v>
      </x:c>
    </x:row>
    <x:row r="195" ht="40" customHeight="1">
      <x:c r="A195" s="39" t="str">
        <x:v>SRC00194</x:v>
      </x:c>
      <x:c r="B195" s="39" t="str">
        <x:v>https://www.kfund.vc/team</x:v>
      </x:c>
      <x:c r="C195" s="39" t="str">
        <x:v>www.kfund.vc</x:v>
      </x:c>
      <x:c r="D195" s="39" t="str">
        <x:v>Perfil / equipa</x:v>
      </x:c>
      <x:c r="E195" s="39" t="str">
        <x:v>Pessoa</x:v>
      </x:c>
      <x:c r="F195" s="39" t="str">
        <x:v>PER0140</x:v>
      </x:c>
      <x:c r="G195" s="44" t="str">
        <x:v>2026-09-09</x:v>
      </x:c>
      <x:c r="H195" s="39" t="str">
        <x:v>Ativa</x:v>
      </x:c>
      <x:c r="I195" s="39" t="str">
        <x:v>Fonte pública; verificar novamente antes de outreach.</x:v>
      </x:c>
    </x:row>
    <x:row r="196" ht="40" customHeight="1">
      <x:c r="A196" s="39" t="str">
        <x:v>SRC00195</x:v>
      </x:c>
      <x:c r="B196" s="39" t="str">
        <x:v>https://www.kfund.vc/team</x:v>
      </x:c>
      <x:c r="C196" s="39" t="str">
        <x:v>www.kfund.vc</x:v>
      </x:c>
      <x:c r="D196" s="39" t="str">
        <x:v>Perfil / equipa</x:v>
      </x:c>
      <x:c r="E196" s="39" t="str">
        <x:v>Pessoa</x:v>
      </x:c>
      <x:c r="F196" s="39" t="str">
        <x:v>PER0141</x:v>
      </x:c>
      <x:c r="G196" s="44" t="str">
        <x:v>2026-09-09</x:v>
      </x:c>
      <x:c r="H196" s="39" t="str">
        <x:v>Ativa</x:v>
      </x:c>
      <x:c r="I196" s="39" t="str">
        <x:v>Fonte pública; verificar novamente antes de outreach.</x:v>
      </x:c>
    </x:row>
    <x:row r="197" ht="40" customHeight="1">
      <x:c r="A197" s="39" t="str">
        <x:v>SRC00196</x:v>
      </x:c>
      <x:c r="B197" s="39" t="str">
        <x:v>https://www.kfund.vc/team</x:v>
      </x:c>
      <x:c r="C197" s="39" t="str">
        <x:v>www.kfund.vc</x:v>
      </x:c>
      <x:c r="D197" s="39" t="str">
        <x:v>Perfil / equipa</x:v>
      </x:c>
      <x:c r="E197" s="39" t="str">
        <x:v>Pessoa</x:v>
      </x:c>
      <x:c r="F197" s="39" t="str">
        <x:v>PER0142</x:v>
      </x:c>
      <x:c r="G197" s="44" t="str">
        <x:v>2026-09-09</x:v>
      </x:c>
      <x:c r="H197" s="39" t="str">
        <x:v>Ativa</x:v>
      </x:c>
      <x:c r="I197" s="39" t="str">
        <x:v>Fonte pública; verificar novamente antes de outreach.</x:v>
      </x:c>
    </x:row>
    <x:row r="198" ht="40" customHeight="1">
      <x:c r="A198" s="39" t="str">
        <x:v>SRC00197</x:v>
      </x:c>
      <x:c r="B198" s="39" t="str">
        <x:v>https://www.samaipata.vc/post/the-founders-q-a</x:v>
      </x:c>
      <x:c r="C198" s="39" t="str">
        <x:v>www.samaipata.vc</x:v>
      </x:c>
      <x:c r="D198" s="39" t="str">
        <x:v>Perfil / equipa</x:v>
      </x:c>
      <x:c r="E198" s="39" t="str">
        <x:v>Pessoa</x:v>
      </x:c>
      <x:c r="F198" s="39" t="str">
        <x:v>PER0143</x:v>
      </x:c>
      <x:c r="G198" s="44" t="str">
        <x:v>2026-09-09</x:v>
      </x:c>
      <x:c r="H198" s="39" t="str">
        <x:v>Ativa</x:v>
      </x:c>
      <x:c r="I198" s="39" t="str">
        <x:v>Fonte pública; verificar novamente antes de outreach.</x:v>
      </x:c>
    </x:row>
    <x:row r="199" ht="40" customHeight="1">
      <x:c r="A199" s="39" t="str">
        <x:v>SRC00198</x:v>
      </x:c>
      <x:c r="B199" s="39" t="str">
        <x:v>https://www.samaipata.vc/post/the-founders-q-a</x:v>
      </x:c>
      <x:c r="C199" s="39" t="str">
        <x:v>www.samaipata.vc</x:v>
      </x:c>
      <x:c r="D199" s="39" t="str">
        <x:v>Perfil / equipa</x:v>
      </x:c>
      <x:c r="E199" s="39" t="str">
        <x:v>Pessoa</x:v>
      </x:c>
      <x:c r="F199" s="39" t="str">
        <x:v>PER0144</x:v>
      </x:c>
      <x:c r="G199" s="44" t="str">
        <x:v>2026-09-09</x:v>
      </x:c>
      <x:c r="H199" s="39" t="str">
        <x:v>Ativa</x:v>
      </x:c>
      <x:c r="I199" s="39" t="str">
        <x:v>Fonte pública; verificar novamente antes de outreach.</x:v>
      </x:c>
    </x:row>
    <x:row r="200" ht="40" customHeight="1">
      <x:c r="A200" s="39" t="str">
        <x:v>SRC00199</x:v>
      </x:c>
      <x:c r="B200" s="39" t="str">
        <x:v>https://www.samaipata.vc/post/the-founders-q-a</x:v>
      </x:c>
      <x:c r="C200" s="39" t="str">
        <x:v>www.samaipata.vc</x:v>
      </x:c>
      <x:c r="D200" s="39" t="str">
        <x:v>Perfil / equipa</x:v>
      </x:c>
      <x:c r="E200" s="39" t="str">
        <x:v>Pessoa</x:v>
      </x:c>
      <x:c r="F200" s="39" t="str">
        <x:v>PER0145</x:v>
      </x:c>
      <x:c r="G200" s="44" t="str">
        <x:v>2026-09-09</x:v>
      </x:c>
      <x:c r="H200" s="39" t="str">
        <x:v>Ativa</x:v>
      </x:c>
      <x:c r="I200" s="39" t="str">
        <x:v>Fonte pública; verificar novamente antes de outreach.</x:v>
      </x:c>
    </x:row>
    <x:row r="201" ht="40" customHeight="1">
      <x:c r="A201" s="39" t="str">
        <x:v>SRC00200</x:v>
      </x:c>
      <x:c r="B201" s="39" t="str">
        <x:v>https://www.samaipata.vc/post/the-founders-q-a</x:v>
      </x:c>
      <x:c r="C201" s="39" t="str">
        <x:v>www.samaipata.vc</x:v>
      </x:c>
      <x:c r="D201" s="39" t="str">
        <x:v>Perfil / equipa</x:v>
      </x:c>
      <x:c r="E201" s="39" t="str">
        <x:v>Pessoa</x:v>
      </x:c>
      <x:c r="F201" s="39" t="str">
        <x:v>PER0146</x:v>
      </x:c>
      <x:c r="G201" s="44" t="str">
        <x:v>2026-09-09</x:v>
      </x:c>
      <x:c r="H201" s="39" t="str">
        <x:v>Ativa</x:v>
      </x:c>
      <x:c r="I201" s="39" t="str">
        <x:v>Fonte pública; verificar novamente antes de outreach.</x:v>
      </x:c>
    </x:row>
    <x:row r="202" ht="40" customHeight="1">
      <x:c r="A202" s="39" t="str">
        <x:v>SRC00201</x:v>
      </x:c>
      <x:c r="B202" s="39" t="str">
        <x:v>https://www.samaipata.vc/post/the-founders-q-a</x:v>
      </x:c>
      <x:c r="C202" s="39" t="str">
        <x:v>www.samaipata.vc</x:v>
      </x:c>
      <x:c r="D202" s="39" t="str">
        <x:v>Perfil / equipa</x:v>
      </x:c>
      <x:c r="E202" s="39" t="str">
        <x:v>Pessoa</x:v>
      </x:c>
      <x:c r="F202" s="39" t="str">
        <x:v>PER0147</x:v>
      </x:c>
      <x:c r="G202" s="44" t="str">
        <x:v>2026-09-09</x:v>
      </x:c>
      <x:c r="H202" s="39" t="str">
        <x:v>Ativa</x:v>
      </x:c>
      <x:c r="I202" s="39" t="str">
        <x:v>Fonte pública; verificar novamente antes de outreach.</x:v>
      </x:c>
    </x:row>
    <x:row r="203" ht="40" customHeight="1">
      <x:c r="A203" s="39" t="str">
        <x:v>SRC00202</x:v>
      </x:c>
      <x:c r="B203" s="39" t="str">
        <x:v>https://www.samaipata.vc/post/the-founders-q-a</x:v>
      </x:c>
      <x:c r="C203" s="39" t="str">
        <x:v>www.samaipata.vc</x:v>
      </x:c>
      <x:c r="D203" s="39" t="str">
        <x:v>Perfil / equipa</x:v>
      </x:c>
      <x:c r="E203" s="39" t="str">
        <x:v>Pessoa</x:v>
      </x:c>
      <x:c r="F203" s="39" t="str">
        <x:v>PER0148</x:v>
      </x:c>
      <x:c r="G203" s="44" t="str">
        <x:v>2026-09-09</x:v>
      </x:c>
      <x:c r="H203" s="39" t="str">
        <x:v>Ativa</x:v>
      </x:c>
      <x:c r="I203" s="39" t="str">
        <x:v>Fonte pública; verificar novamente antes de outreach.</x:v>
      </x:c>
    </x:row>
    <x:row r="204" ht="40" customHeight="1">
      <x:c r="A204" s="39" t="str">
        <x:v>SRC00203</x:v>
      </x:c>
      <x:c r="B204" s="39" t="str">
        <x:v>https://www.samaipata.vc/post/the-founders-q-a</x:v>
      </x:c>
      <x:c r="C204" s="39" t="str">
        <x:v>www.samaipata.vc</x:v>
      </x:c>
      <x:c r="D204" s="39" t="str">
        <x:v>Perfil / equipa</x:v>
      </x:c>
      <x:c r="E204" s="39" t="str">
        <x:v>Pessoa</x:v>
      </x:c>
      <x:c r="F204" s="39" t="str">
        <x:v>PER0149</x:v>
      </x:c>
      <x:c r="G204" s="44" t="str">
        <x:v>2026-09-09</x:v>
      </x:c>
      <x:c r="H204" s="39" t="str">
        <x:v>Ativa</x:v>
      </x:c>
      <x:c r="I204" s="39" t="str">
        <x:v>Fonte pública; verificar novamente antes de outreach.</x:v>
      </x:c>
    </x:row>
    <x:row r="205" ht="40" customHeight="1">
      <x:c r="A205" s="39" t="str">
        <x:v>SRC00204</x:v>
      </x:c>
      <x:c r="B205" s="39" t="str">
        <x:v>https://www.samaipata.vc/post/the-founders-q-a</x:v>
      </x:c>
      <x:c r="C205" s="39" t="str">
        <x:v>www.samaipata.vc</x:v>
      </x:c>
      <x:c r="D205" s="39" t="str">
        <x:v>Perfil / equipa</x:v>
      </x:c>
      <x:c r="E205" s="39" t="str">
        <x:v>Pessoa</x:v>
      </x:c>
      <x:c r="F205" s="39" t="str">
        <x:v>PER0150</x:v>
      </x:c>
      <x:c r="G205" s="44" t="str">
        <x:v>2026-09-09</x:v>
      </x:c>
      <x:c r="H205" s="39" t="str">
        <x:v>Ativa</x:v>
      </x:c>
      <x:c r="I205" s="39" t="str">
        <x:v>Fonte pública; verificar novamente antes de outreach.</x:v>
      </x:c>
    </x:row>
    <x:row r="206" ht="40" customHeight="1">
      <x:c r="A206" s="39" t="str">
        <x:v>SRC00205</x:v>
      </x:c>
      <x:c r="B206" s="39" t="str">
        <x:v>https://www.portugalventures.pt/en/news/new-leadership-for-the-2025-2027-triennium/</x:v>
      </x:c>
      <x:c r="C206" s="39" t="str">
        <x:v>www.portugalventures.pt</x:v>
      </x:c>
      <x:c r="D206" s="39" t="str">
        <x:v>Perfil / equipa</x:v>
      </x:c>
      <x:c r="E206" s="39" t="str">
        <x:v>Pessoa</x:v>
      </x:c>
      <x:c r="F206" s="39" t="str">
        <x:v>PER0151</x:v>
      </x:c>
      <x:c r="G206" s="44" t="str">
        <x:v>2026-09-09</x:v>
      </x:c>
      <x:c r="H206" s="39" t="str">
        <x:v>Ativa</x:v>
      </x:c>
      <x:c r="I206" s="39" t="str">
        <x:v>Fonte pública; verificar novamente antes de outreach.</x:v>
      </x:c>
    </x:row>
    <x:row r="207" ht="40" customHeight="1">
      <x:c r="A207" s="39" t="str">
        <x:v>SRC00206</x:v>
      </x:c>
      <x:c r="B207" s="39" t="str">
        <x:v>https://www.portugalventures.pt/en/news/new-leadership-for-the-2025-2027-triennium/</x:v>
      </x:c>
      <x:c r="C207" s="39" t="str">
        <x:v>www.portugalventures.pt</x:v>
      </x:c>
      <x:c r="D207" s="39" t="str">
        <x:v>Perfil / equipa</x:v>
      </x:c>
      <x:c r="E207" s="39" t="str">
        <x:v>Pessoa</x:v>
      </x:c>
      <x:c r="F207" s="39" t="str">
        <x:v>PER0152</x:v>
      </x:c>
      <x:c r="G207" s="44" t="str">
        <x:v>2026-09-09</x:v>
      </x:c>
      <x:c r="H207" s="39" t="str">
        <x:v>Ativa</x:v>
      </x:c>
      <x:c r="I207" s="39" t="str">
        <x:v>Fonte pública; verificar novamente antes de outreach.</x:v>
      </x:c>
    </x:row>
    <x:row r="208" ht="40" customHeight="1">
      <x:c r="A208" s="39" t="str">
        <x:v>SRC00207</x:v>
      </x:c>
      <x:c r="B208" s="39" t="str">
        <x:v>https://www.portugalventures.pt/en/news/new-leadership-for-the-2025-2027-triennium/</x:v>
      </x:c>
      <x:c r="C208" s="39" t="str">
        <x:v>www.portugalventures.pt</x:v>
      </x:c>
      <x:c r="D208" s="39" t="str">
        <x:v>Perfil / equipa</x:v>
      </x:c>
      <x:c r="E208" s="39" t="str">
        <x:v>Pessoa</x:v>
      </x:c>
      <x:c r="F208" s="39" t="str">
        <x:v>PER0153</x:v>
      </x:c>
      <x:c r="G208" s="44" t="str">
        <x:v>2026-09-09</x:v>
      </x:c>
      <x:c r="H208" s="39" t="str">
        <x:v>Ativa</x:v>
      </x:c>
      <x:c r="I208" s="39" t="str">
        <x:v>Fonte pública; verificar novamente antes de outreach.</x:v>
      </x:c>
    </x:row>
    <x:row r="209" ht="40" customHeight="1">
      <x:c r="A209" s="39" t="str">
        <x:v>SRC00208</x:v>
      </x:c>
      <x:c r="B209" s="39" t="str">
        <x:v>https://www.portugalventures.pt/en/member/miguel-barbosa/</x:v>
      </x:c>
      <x:c r="C209" s="39" t="str">
        <x:v>www.portugalventures.pt</x:v>
      </x:c>
      <x:c r="D209" s="39" t="str">
        <x:v>Perfil / equipa</x:v>
      </x:c>
      <x:c r="E209" s="39" t="str">
        <x:v>Pessoa</x:v>
      </x:c>
      <x:c r="F209" s="39" t="str">
        <x:v>PER0154</x:v>
      </x:c>
      <x:c r="G209" s="44" t="str">
        <x:v>2026-09-09</x:v>
      </x:c>
      <x:c r="H209" s="39" t="str">
        <x:v>Ativa</x:v>
      </x:c>
      <x:c r="I209" s="39" t="str">
        <x:v>Fonte pública; verificar novamente antes de outreach.</x:v>
      </x:c>
    </x:row>
    <x:row r="210" ht="40" customHeight="1">
      <x:c r="A210" s="39" t="str">
        <x:v>SRC00209</x:v>
      </x:c>
      <x:c r="B210" s="39" t="str">
        <x:v>https://www.portugalventures.pt/en/portfolio/outgoing/</x:v>
      </x:c>
      <x:c r="C210" s="39" t="str">
        <x:v>www.portugalventures.pt</x:v>
      </x:c>
      <x:c r="D210" s="39" t="str">
        <x:v>Perfil / equipa</x:v>
      </x:c>
      <x:c r="E210" s="39" t="str">
        <x:v>Pessoa</x:v>
      </x:c>
      <x:c r="F210" s="39" t="str">
        <x:v>PER0155</x:v>
      </x:c>
      <x:c r="G210" s="44" t="str">
        <x:v>2026-09-09</x:v>
      </x:c>
      <x:c r="H210" s="39" t="str">
        <x:v>Ativa</x:v>
      </x:c>
      <x:c r="I210" s="39" t="str">
        <x:v>Fonte pública; verificar novamente antes de outreach.</x:v>
      </x:c>
    </x:row>
    <x:row r="211" ht="40" customHeight="1">
      <x:c r="A211" s="39" t="str">
        <x:v>SRC00210</x:v>
      </x:c>
      <x:c r="B211" s="39" t="str">
        <x:v>https://www.indicocapital.com/about-us</x:v>
      </x:c>
      <x:c r="C211" s="39" t="str">
        <x:v>www.indicocapital.com</x:v>
      </x:c>
      <x:c r="D211" s="39" t="str">
        <x:v>Perfil / equipa</x:v>
      </x:c>
      <x:c r="E211" s="39" t="str">
        <x:v>Pessoa</x:v>
      </x:c>
      <x:c r="F211" s="39" t="str">
        <x:v>PER0156</x:v>
      </x:c>
      <x:c r="G211" s="44" t="str">
        <x:v>2026-09-09</x:v>
      </x:c>
      <x:c r="H211" s="39" t="str">
        <x:v>Ativa</x:v>
      </x:c>
      <x:c r="I211" s="39" t="str">
        <x:v>Fonte pública; verificar novamente antes de outreach.</x:v>
      </x:c>
    </x:row>
    <x:row r="212" ht="40" customHeight="1">
      <x:c r="A212" s="39" t="str">
        <x:v>SRC00211</x:v>
      </x:c>
      <x:c r="B212" s="39" t="str">
        <x:v>https://www.indicocapital.com/about-us</x:v>
      </x:c>
      <x:c r="C212" s="39" t="str">
        <x:v>www.indicocapital.com</x:v>
      </x:c>
      <x:c r="D212" s="39" t="str">
        <x:v>Perfil / equipa</x:v>
      </x:c>
      <x:c r="E212" s="39" t="str">
        <x:v>Pessoa</x:v>
      </x:c>
      <x:c r="F212" s="39" t="str">
        <x:v>PER0157</x:v>
      </x:c>
      <x:c r="G212" s="44" t="str">
        <x:v>2026-09-09</x:v>
      </x:c>
      <x:c r="H212" s="39" t="str">
        <x:v>Ativa</x:v>
      </x:c>
      <x:c r="I212" s="39" t="str">
        <x:v>Fonte pública; verificar novamente antes de outreach.</x:v>
      </x:c>
    </x:row>
    <x:row r="213" ht="40" customHeight="1">
      <x:c r="A213" s="39" t="str">
        <x:v>SRC00212</x:v>
      </x:c>
      <x:c r="B213" s="39" t="str">
        <x:v>https://www.indicocapital.com/about-us</x:v>
      </x:c>
      <x:c r="C213" s="39" t="str">
        <x:v>www.indicocapital.com</x:v>
      </x:c>
      <x:c r="D213" s="39" t="str">
        <x:v>Perfil / equipa</x:v>
      </x:c>
      <x:c r="E213" s="39" t="str">
        <x:v>Pessoa</x:v>
      </x:c>
      <x:c r="F213" s="39" t="str">
        <x:v>PER0158</x:v>
      </x:c>
      <x:c r="G213" s="44" t="str">
        <x:v>2026-09-09</x:v>
      </x:c>
      <x:c r="H213" s="39" t="str">
        <x:v>Ativa</x:v>
      </x:c>
      <x:c r="I213" s="39" t="str">
        <x:v>Fonte pública; verificar novamente antes de outreach.</x:v>
      </x:c>
    </x:row>
    <x:row r="214" ht="40" customHeight="1">
      <x:c r="A214" s="39" t="str">
        <x:v>SRC00213</x:v>
      </x:c>
      <x:c r="B214" s="39" t="str">
        <x:v>https://www.indicocapital.com/about-us</x:v>
      </x:c>
      <x:c r="C214" s="39" t="str">
        <x:v>www.indicocapital.com</x:v>
      </x:c>
      <x:c r="D214" s="39" t="str">
        <x:v>Perfil / equipa</x:v>
      </x:c>
      <x:c r="E214" s="39" t="str">
        <x:v>Pessoa</x:v>
      </x:c>
      <x:c r="F214" s="39" t="str">
        <x:v>PER0159</x:v>
      </x:c>
      <x:c r="G214" s="44" t="str">
        <x:v>2026-09-09</x:v>
      </x:c>
      <x:c r="H214" s="39" t="str">
        <x:v>Ativa</x:v>
      </x:c>
      <x:c r="I214" s="39" t="str">
        <x:v>Fonte pública; verificar novamente antes de outreach.</x:v>
      </x:c>
    </x:row>
    <x:row r="215" ht="40" customHeight="1">
      <x:c r="A215" s="39" t="str">
        <x:v>SRC00214</x:v>
      </x:c>
      <x:c r="B215" s="39" t="str">
        <x:v>https://www.indicocapital.com/about-us</x:v>
      </x:c>
      <x:c r="C215" s="39" t="str">
        <x:v>www.indicocapital.com</x:v>
      </x:c>
      <x:c r="D215" s="39" t="str">
        <x:v>Perfil / equipa</x:v>
      </x:c>
      <x:c r="E215" s="39" t="str">
        <x:v>Pessoa</x:v>
      </x:c>
      <x:c r="F215" s="39" t="str">
        <x:v>PER0160</x:v>
      </x:c>
      <x:c r="G215" s="44" t="str">
        <x:v>2026-09-09</x:v>
      </x:c>
      <x:c r="H215" s="39" t="str">
        <x:v>Ativa</x:v>
      </x:c>
      <x:c r="I215" s="39" t="str">
        <x:v>Fonte pública; verificar novamente antes de outreach.</x:v>
      </x:c>
    </x:row>
    <x:row r="216" ht="40" customHeight="1">
      <x:c r="A216" s="39" t="str">
        <x:v>SRC00215</x:v>
      </x:c>
      <x:c r="B216" s="39" t="str">
        <x:v>https://www.indicocapital.com/about-us</x:v>
      </x:c>
      <x:c r="C216" s="39" t="str">
        <x:v>www.indicocapital.com</x:v>
      </x:c>
      <x:c r="D216" s="39" t="str">
        <x:v>Perfil / equipa</x:v>
      </x:c>
      <x:c r="E216" s="39" t="str">
        <x:v>Pessoa</x:v>
      </x:c>
      <x:c r="F216" s="39" t="str">
        <x:v>PER0161</x:v>
      </x:c>
      <x:c r="G216" s="44" t="str">
        <x:v>2026-09-09</x:v>
      </x:c>
      <x:c r="H216" s="39" t="str">
        <x:v>Ativa</x:v>
      </x:c>
      <x:c r="I216" s="39" t="str">
        <x:v>Fonte pública; verificar novamente antes de outreach.</x:v>
      </x:c>
    </x:row>
    <x:row r="217" ht="40" customHeight="1">
      <x:c r="A217" s="39" t="str">
        <x:v>SRC00216</x:v>
      </x:c>
      <x:c r="B217" s="39" t="str">
        <x:v>https://www.indicocapital.com/about-us</x:v>
      </x:c>
      <x:c r="C217" s="39" t="str">
        <x:v>www.indicocapital.com</x:v>
      </x:c>
      <x:c r="D217" s="39" t="str">
        <x:v>Perfil / equipa</x:v>
      </x:c>
      <x:c r="E217" s="39" t="str">
        <x:v>Pessoa</x:v>
      </x:c>
      <x:c r="F217" s="39" t="str">
        <x:v>PER0162</x:v>
      </x:c>
      <x:c r="G217" s="44" t="str">
        <x:v>2026-09-09</x:v>
      </x:c>
      <x:c r="H217" s="39" t="str">
        <x:v>Ativa</x:v>
      </x:c>
      <x:c r="I217" s="39" t="str">
        <x:v>Fonte pública; verificar novamente antes de outreach.</x:v>
      </x:c>
    </x:row>
    <x:row r="218" ht="40" customHeight="1">
      <x:c r="A218" s="39" t="str">
        <x:v>SRC00217</x:v>
      </x:c>
      <x:c r="B218" s="39" t="str">
        <x:v>https://www.indicocapital.com/about-us</x:v>
      </x:c>
      <x:c r="C218" s="39" t="str">
        <x:v>www.indicocapital.com</x:v>
      </x:c>
      <x:c r="D218" s="39" t="str">
        <x:v>Perfil / equipa</x:v>
      </x:c>
      <x:c r="E218" s="39" t="str">
        <x:v>Pessoa</x:v>
      </x:c>
      <x:c r="F218" s="39" t="str">
        <x:v>PER0163</x:v>
      </x:c>
      <x:c r="G218" s="44" t="str">
        <x:v>2026-09-09</x:v>
      </x:c>
      <x:c r="H218" s="39" t="str">
        <x:v>Ativa</x:v>
      </x:c>
      <x:c r="I218" s="39" t="str">
        <x:v>Fonte pública; verificar novamente antes de outreach.</x:v>
      </x:c>
    </x:row>
    <x:row r="219" ht="40" customHeight="1">
      <x:c r="A219" s="39" t="str">
        <x:v>SRC00218</x:v>
      </x:c>
      <x:c r="B219" s="39" t="str">
        <x:v>https://www.shilling.vc/team</x:v>
      </x:c>
      <x:c r="C219" s="39" t="str">
        <x:v>www.shilling.vc</x:v>
      </x:c>
      <x:c r="D219" s="39" t="str">
        <x:v>Perfil / equipa</x:v>
      </x:c>
      <x:c r="E219" s="39" t="str">
        <x:v>Pessoa</x:v>
      </x:c>
      <x:c r="F219" s="39" t="str">
        <x:v>PER0164</x:v>
      </x:c>
      <x:c r="G219" s="44" t="str">
        <x:v>2026-09-09</x:v>
      </x:c>
      <x:c r="H219" s="39" t="str">
        <x:v>Ativa</x:v>
      </x:c>
      <x:c r="I219" s="39" t="str">
        <x:v>Fonte pública; verificar novamente antes de outreach.</x:v>
      </x:c>
    </x:row>
    <x:row r="220" ht="40" customHeight="1">
      <x:c r="A220" s="39" t="str">
        <x:v>SRC00219</x:v>
      </x:c>
      <x:c r="B220" s="39" t="str">
        <x:v>https://www.shilling.vc/team</x:v>
      </x:c>
      <x:c r="C220" s="39" t="str">
        <x:v>www.shilling.vc</x:v>
      </x:c>
      <x:c r="D220" s="39" t="str">
        <x:v>Perfil / equipa</x:v>
      </x:c>
      <x:c r="E220" s="39" t="str">
        <x:v>Pessoa</x:v>
      </x:c>
      <x:c r="F220" s="39" t="str">
        <x:v>PER0165</x:v>
      </x:c>
      <x:c r="G220" s="44" t="str">
        <x:v>2026-09-09</x:v>
      </x:c>
      <x:c r="H220" s="39" t="str">
        <x:v>Ativa</x:v>
      </x:c>
      <x:c r="I220" s="39" t="str">
        <x:v>Fonte pública; verificar novamente antes de outreach.</x:v>
      </x:c>
    </x:row>
    <x:row r="221" ht="40" customHeight="1">
      <x:c r="A221" s="39" t="str">
        <x:v>SRC00220</x:v>
      </x:c>
      <x:c r="B221" s="39" t="str">
        <x:v>https://www.shilling.vc/team</x:v>
      </x:c>
      <x:c r="C221" s="39" t="str">
        <x:v>www.shilling.vc</x:v>
      </x:c>
      <x:c r="D221" s="39" t="str">
        <x:v>Perfil / equipa</x:v>
      </x:c>
      <x:c r="E221" s="39" t="str">
        <x:v>Pessoa</x:v>
      </x:c>
      <x:c r="F221" s="39" t="str">
        <x:v>PER0166</x:v>
      </x:c>
      <x:c r="G221" s="44" t="str">
        <x:v>2026-09-09</x:v>
      </x:c>
      <x:c r="H221" s="39" t="str">
        <x:v>Ativa</x:v>
      </x:c>
      <x:c r="I221" s="39" t="str">
        <x:v>Fonte pública; verificar novamente antes de outreach.</x:v>
      </x:c>
    </x:row>
    <x:row r="222" ht="40" customHeight="1">
      <x:c r="A222" s="39" t="str">
        <x:v>SRC00221</x:v>
      </x:c>
      <x:c r="B222" s="39" t="str">
        <x:v>https://www.shilling.vc/team</x:v>
      </x:c>
      <x:c r="C222" s="39" t="str">
        <x:v>www.shilling.vc</x:v>
      </x:c>
      <x:c r="D222" s="39" t="str">
        <x:v>Perfil / equipa</x:v>
      </x:c>
      <x:c r="E222" s="39" t="str">
        <x:v>Pessoa</x:v>
      </x:c>
      <x:c r="F222" s="39" t="str">
        <x:v>PER0167</x:v>
      </x:c>
      <x:c r="G222" s="44" t="str">
        <x:v>2026-09-09</x:v>
      </x:c>
      <x:c r="H222" s="39" t="str">
        <x:v>Ativa</x:v>
      </x:c>
      <x:c r="I222" s="39" t="str">
        <x:v>Fonte pública; verificar novamente antes de outreach.</x:v>
      </x:c>
    </x:row>
    <x:row r="223" ht="40" customHeight="1">
      <x:c r="A223" s="39" t="str">
        <x:v>SRC00222</x:v>
      </x:c>
      <x:c r="B223" s="39" t="str">
        <x:v>https://www.shilling.vc/team</x:v>
      </x:c>
      <x:c r="C223" s="39" t="str">
        <x:v>www.shilling.vc</x:v>
      </x:c>
      <x:c r="D223" s="39" t="str">
        <x:v>Perfil / equipa</x:v>
      </x:c>
      <x:c r="E223" s="39" t="str">
        <x:v>Pessoa</x:v>
      </x:c>
      <x:c r="F223" s="39" t="str">
        <x:v>PER0168</x:v>
      </x:c>
      <x:c r="G223" s="44" t="str">
        <x:v>2026-09-09</x:v>
      </x:c>
      <x:c r="H223" s="39" t="str">
        <x:v>Ativa</x:v>
      </x:c>
      <x:c r="I223" s="39" t="str">
        <x:v>Fonte pública; verificar novamente antes de outreach.</x:v>
      </x:c>
    </x:row>
    <x:row r="224" ht="40" customHeight="1">
      <x:c r="A224" s="39" t="str">
        <x:v>SRC00223</x:v>
      </x:c>
      <x:c r="B224" s="39" t="str">
        <x:v>https://www.shilling.vc/team</x:v>
      </x:c>
      <x:c r="C224" s="39" t="str">
        <x:v>www.shilling.vc</x:v>
      </x:c>
      <x:c r="D224" s="39" t="str">
        <x:v>Perfil / equipa</x:v>
      </x:c>
      <x:c r="E224" s="39" t="str">
        <x:v>Pessoa</x:v>
      </x:c>
      <x:c r="F224" s="39" t="str">
        <x:v>PER0169</x:v>
      </x:c>
      <x:c r="G224" s="44" t="str">
        <x:v>2026-09-09</x:v>
      </x:c>
      <x:c r="H224" s="39" t="str">
        <x:v>Ativa</x:v>
      </x:c>
      <x:c r="I224" s="39" t="str">
        <x:v>Fonte pública; verificar novamente antes de outreach.</x:v>
      </x:c>
    </x:row>
    <x:row r="225" ht="40" customHeight="1">
      <x:c r="A225" s="39" t="str">
        <x:v>SRC00224</x:v>
      </x:c>
      <x:c r="B225" s="39" t="str">
        <x:v>https://www.shilling.vc/team</x:v>
      </x:c>
      <x:c r="C225" s="39" t="str">
        <x:v>www.shilling.vc</x:v>
      </x:c>
      <x:c r="D225" s="39" t="str">
        <x:v>Perfil / equipa</x:v>
      </x:c>
      <x:c r="E225" s="39" t="str">
        <x:v>Pessoa</x:v>
      </x:c>
      <x:c r="F225" s="39" t="str">
        <x:v>PER0170</x:v>
      </x:c>
      <x:c r="G225" s="44" t="str">
        <x:v>2026-09-09</x:v>
      </x:c>
      <x:c r="H225" s="39" t="str">
        <x:v>Ativa</x:v>
      </x:c>
      <x:c r="I225" s="39" t="str">
        <x:v>Fonte pública; verificar novamente antes de outreach.</x:v>
      </x:c>
    </x:row>
    <x:row r="226" ht="40" customHeight="1">
      <x:c r="A226" s="39" t="str">
        <x:v>SRC00225</x:v>
      </x:c>
      <x:c r="B226" s="39" t="str">
        <x:v>https://www.shilling.vc/team</x:v>
      </x:c>
      <x:c r="C226" s="39" t="str">
        <x:v>www.shilling.vc</x:v>
      </x:c>
      <x:c r="D226" s="39" t="str">
        <x:v>Perfil / equipa</x:v>
      </x:c>
      <x:c r="E226" s="39" t="str">
        <x:v>Pessoa</x:v>
      </x:c>
      <x:c r="F226" s="39" t="str">
        <x:v>PER0171</x:v>
      </x:c>
      <x:c r="G226" s="44" t="str">
        <x:v>2026-09-09</x:v>
      </x:c>
      <x:c r="H226" s="39" t="str">
        <x:v>Ativa</x:v>
      </x:c>
      <x:c r="I226" s="39" t="str">
        <x:v>Fonte pública; verificar novamente antes de outreach.</x:v>
      </x:c>
    </x:row>
    <x:row r="227" ht="40" customHeight="1">
      <x:c r="A227" s="39" t="str">
        <x:v>SRC00226</x:v>
      </x:c>
      <x:c r="B227" s="39" t="str">
        <x:v>https://www.shilling.vc/team</x:v>
      </x:c>
      <x:c r="C227" s="39" t="str">
        <x:v>www.shilling.vc</x:v>
      </x:c>
      <x:c r="D227" s="39" t="str">
        <x:v>Perfil / equipa</x:v>
      </x:c>
      <x:c r="E227" s="39" t="str">
        <x:v>Pessoa</x:v>
      </x:c>
      <x:c r="F227" s="39" t="str">
        <x:v>PER0172</x:v>
      </x:c>
      <x:c r="G227" s="44" t="str">
        <x:v>2026-09-09</x:v>
      </x:c>
      <x:c r="H227" s="39" t="str">
        <x:v>Ativa</x:v>
      </x:c>
      <x:c r="I227" s="39" t="str">
        <x:v>Fonte pública; verificar novamente antes de outreach.</x:v>
      </x:c>
    </x:row>
    <x:row r="228" ht="40" customHeight="1">
      <x:c r="A228" s="39" t="str">
        <x:v>SRC00227</x:v>
      </x:c>
      <x:c r="B228" s="39" t="str">
        <x:v>https://www.shilling.vc/team</x:v>
      </x:c>
      <x:c r="C228" s="39" t="str">
        <x:v>www.shilling.vc</x:v>
      </x:c>
      <x:c r="D228" s="39" t="str">
        <x:v>Perfil / equipa</x:v>
      </x:c>
      <x:c r="E228" s="39" t="str">
        <x:v>Pessoa</x:v>
      </x:c>
      <x:c r="F228" s="39" t="str">
        <x:v>PER0173</x:v>
      </x:c>
      <x:c r="G228" s="44" t="str">
        <x:v>2026-09-09</x:v>
      </x:c>
      <x:c r="H228" s="39" t="str">
        <x:v>Ativa</x:v>
      </x:c>
      <x:c r="I228" s="39" t="str">
        <x:v>Fonte pública; verificar novamente antes de outreach.</x:v>
      </x:c>
    </x:row>
    <x:row r="229" ht="40" customHeight="1">
      <x:c r="A229" s="39" t="str">
        <x:v>SRC00228</x:v>
      </x:c>
      <x:c r="B229" s="39" t="str">
        <x:v>https://www.shilling.vc/team</x:v>
      </x:c>
      <x:c r="C229" s="39" t="str">
        <x:v>www.shilling.vc</x:v>
      </x:c>
      <x:c r="D229" s="39" t="str">
        <x:v>Perfil / equipa</x:v>
      </x:c>
      <x:c r="E229" s="39" t="str">
        <x:v>Pessoa</x:v>
      </x:c>
      <x:c r="F229" s="39" t="str">
        <x:v>PER0174</x:v>
      </x:c>
      <x:c r="G229" s="44" t="str">
        <x:v>2026-09-09</x:v>
      </x:c>
      <x:c r="H229" s="39" t="str">
        <x:v>Ativa</x:v>
      </x:c>
      <x:c r="I229" s="39" t="str">
        <x:v>Fonte pública; verificar novamente antes de outreach.</x:v>
      </x:c>
    </x:row>
    <x:row r="230" ht="40" customHeight="1">
      <x:c r="A230" s="39" t="str">
        <x:v>SRC00229</x:v>
      </x:c>
      <x:c r="B230" s="39" t="str">
        <x:v>https://www.shilling.vc/team</x:v>
      </x:c>
      <x:c r="C230" s="39" t="str">
        <x:v>www.shilling.vc</x:v>
      </x:c>
      <x:c r="D230" s="39" t="str">
        <x:v>Perfil / equipa</x:v>
      </x:c>
      <x:c r="E230" s="39" t="str">
        <x:v>Pessoa</x:v>
      </x:c>
      <x:c r="F230" s="39" t="str">
        <x:v>PER0175</x:v>
      </x:c>
      <x:c r="G230" s="44" t="str">
        <x:v>2026-09-09</x:v>
      </x:c>
      <x:c r="H230" s="39" t="str">
        <x:v>Ativa</x:v>
      </x:c>
      <x:c r="I230" s="39" t="str">
        <x:v>Fonte pública; verificar novamente antes de outreach.</x:v>
      </x:c>
    </x:row>
    <x:row r="231" ht="40" customHeight="1">
      <x:c r="A231" s="39" t="str">
        <x:v>SRC00230</x:v>
      </x:c>
      <x:c r="B231" s="39" t="str">
        <x:v>https://www.armilar.com/why-armilar</x:v>
      </x:c>
      <x:c r="C231" s="39" t="str">
        <x:v>www.armilar.com</x:v>
      </x:c>
      <x:c r="D231" s="39" t="str">
        <x:v>Perfil / equipa</x:v>
      </x:c>
      <x:c r="E231" s="39" t="str">
        <x:v>Pessoa</x:v>
      </x:c>
      <x:c r="F231" s="39" t="str">
        <x:v>PER0176</x:v>
      </x:c>
      <x:c r="G231" s="44" t="str">
        <x:v>2026-09-09</x:v>
      </x:c>
      <x:c r="H231" s="39" t="str">
        <x:v>Ativa</x:v>
      </x:c>
      <x:c r="I231" s="39" t="str">
        <x:v>Fonte pública; verificar novamente antes de outreach.</x:v>
      </x:c>
    </x:row>
    <x:row r="232" ht="40" customHeight="1">
      <x:c r="A232" s="39" t="str">
        <x:v>SRC00231</x:v>
      </x:c>
      <x:c r="B232" s="39" t="str">
        <x:v>https://www.armilar.com/why-armilar</x:v>
      </x:c>
      <x:c r="C232" s="39" t="str">
        <x:v>www.armilar.com</x:v>
      </x:c>
      <x:c r="D232" s="39" t="str">
        <x:v>Perfil / equipa</x:v>
      </x:c>
      <x:c r="E232" s="39" t="str">
        <x:v>Pessoa</x:v>
      </x:c>
      <x:c r="F232" s="39" t="str">
        <x:v>PER0177</x:v>
      </x:c>
      <x:c r="G232" s="44" t="str">
        <x:v>2026-09-09</x:v>
      </x:c>
      <x:c r="H232" s="39" t="str">
        <x:v>Ativa</x:v>
      </x:c>
      <x:c r="I232" s="39" t="str">
        <x:v>Fonte pública; verificar novamente antes de outreach.</x:v>
      </x:c>
    </x:row>
    <x:row r="233" ht="40" customHeight="1">
      <x:c r="A233" s="39" t="str">
        <x:v>SRC00232</x:v>
      </x:c>
      <x:c r="B233" s="39" t="str">
        <x:v>https://www.armilar.com/why-armilar</x:v>
      </x:c>
      <x:c r="C233" s="39" t="str">
        <x:v>www.armilar.com</x:v>
      </x:c>
      <x:c r="D233" s="39" t="str">
        <x:v>Perfil / equipa</x:v>
      </x:c>
      <x:c r="E233" s="39" t="str">
        <x:v>Pessoa</x:v>
      </x:c>
      <x:c r="F233" s="39" t="str">
        <x:v>PER0178</x:v>
      </x:c>
      <x:c r="G233" s="44" t="str">
        <x:v>2026-09-09</x:v>
      </x:c>
      <x:c r="H233" s="39" t="str">
        <x:v>Ativa</x:v>
      </x:c>
      <x:c r="I233" s="39" t="str">
        <x:v>Fonte pública; verificar novamente antes de outreach.</x:v>
      </x:c>
    </x:row>
    <x:row r="234" ht="40" customHeight="1">
      <x:c r="A234" s="39" t="str">
        <x:v>SRC00233</x:v>
      </x:c>
      <x:c r="B234" s="39" t="str">
        <x:v>https://www.armilar.com/why-armilar</x:v>
      </x:c>
      <x:c r="C234" s="39" t="str">
        <x:v>www.armilar.com</x:v>
      </x:c>
      <x:c r="D234" s="39" t="str">
        <x:v>Perfil / equipa</x:v>
      </x:c>
      <x:c r="E234" s="39" t="str">
        <x:v>Pessoa</x:v>
      </x:c>
      <x:c r="F234" s="39" t="str">
        <x:v>PER0179</x:v>
      </x:c>
      <x:c r="G234" s="44" t="str">
        <x:v>2026-09-09</x:v>
      </x:c>
      <x:c r="H234" s="39" t="str">
        <x:v>Ativa</x:v>
      </x:c>
      <x:c r="I234" s="39" t="str">
        <x:v>Fonte pública; verificar novamente antes de outreach.</x:v>
      </x:c>
    </x:row>
    <x:row r="235" ht="40" customHeight="1">
      <x:c r="A235" s="39" t="str">
        <x:v>SRC00234</x:v>
      </x:c>
      <x:c r="B235" s="39" t="str">
        <x:v>https://www.armilar.com/why-armilar</x:v>
      </x:c>
      <x:c r="C235" s="39" t="str">
        <x:v>www.armilar.com</x:v>
      </x:c>
      <x:c r="D235" s="39" t="str">
        <x:v>Perfil / equipa</x:v>
      </x:c>
      <x:c r="E235" s="39" t="str">
        <x:v>Pessoa</x:v>
      </x:c>
      <x:c r="F235" s="39" t="str">
        <x:v>PER0180</x:v>
      </x:c>
      <x:c r="G235" s="44" t="str">
        <x:v>2026-09-09</x:v>
      </x:c>
      <x:c r="H235" s="39" t="str">
        <x:v>Ativa</x:v>
      </x:c>
      <x:c r="I235" s="39" t="str">
        <x:v>Fonte pública; verificar novamente antes de outreach.</x:v>
      </x:c>
    </x:row>
    <x:row r="236" ht="40" customHeight="1">
      <x:c r="A236" s="39" t="str">
        <x:v>SRC00235</x:v>
      </x:c>
      <x:c r="B236" s="39" t="str">
        <x:v>https://www.armilar.com/why-armilar</x:v>
      </x:c>
      <x:c r="C236" s="39" t="str">
        <x:v>www.armilar.com</x:v>
      </x:c>
      <x:c r="D236" s="39" t="str">
        <x:v>Perfil / equipa</x:v>
      </x:c>
      <x:c r="E236" s="39" t="str">
        <x:v>Pessoa</x:v>
      </x:c>
      <x:c r="F236" s="39" t="str">
        <x:v>PER0181</x:v>
      </x:c>
      <x:c r="G236" s="44" t="str">
        <x:v>2026-09-09</x:v>
      </x:c>
      <x:c r="H236" s="39" t="str">
        <x:v>Ativa</x:v>
      </x:c>
      <x:c r="I236" s="39" t="str">
        <x:v>Fonte pública; verificar novamente antes de outreach.</x:v>
      </x:c>
    </x:row>
    <x:row r="237" ht="40" customHeight="1">
      <x:c r="A237" s="39" t="str">
        <x:v>SRC00236</x:v>
      </x:c>
      <x:c r="B237" s="39" t="str">
        <x:v>https://www.armilar.com/why-armilar</x:v>
      </x:c>
      <x:c r="C237" s="39" t="str">
        <x:v>www.armilar.com</x:v>
      </x:c>
      <x:c r="D237" s="39" t="str">
        <x:v>Perfil / equipa</x:v>
      </x:c>
      <x:c r="E237" s="39" t="str">
        <x:v>Pessoa</x:v>
      </x:c>
      <x:c r="F237" s="39" t="str">
        <x:v>PER0182</x:v>
      </x:c>
      <x:c r="G237" s="44" t="str">
        <x:v>2026-09-09</x:v>
      </x:c>
      <x:c r="H237" s="39" t="str">
        <x:v>Ativa</x:v>
      </x:c>
      <x:c r="I237" s="39" t="str">
        <x:v>Fonte pública; verificar novamente antes de outreach.</x:v>
      </x:c>
    </x:row>
    <x:row r="238" ht="40" customHeight="1">
      <x:c r="A238" s="39" t="str">
        <x:v>SRC00237</x:v>
      </x:c>
      <x:c r="B238" s="39" t="str">
        <x:v>https://www.armilar.com/why-armilar</x:v>
      </x:c>
      <x:c r="C238" s="39" t="str">
        <x:v>www.armilar.com</x:v>
      </x:c>
      <x:c r="D238" s="39" t="str">
        <x:v>Perfil / equipa</x:v>
      </x:c>
      <x:c r="E238" s="39" t="str">
        <x:v>Pessoa</x:v>
      </x:c>
      <x:c r="F238" s="39" t="str">
        <x:v>PER0183</x:v>
      </x:c>
      <x:c r="G238" s="44" t="str">
        <x:v>2026-09-09</x:v>
      </x:c>
      <x:c r="H238" s="39" t="str">
        <x:v>Ativa</x:v>
      </x:c>
      <x:c r="I238" s="39" t="str">
        <x:v>Fonte pública; verificar novamente antes de outreach.</x:v>
      </x:c>
    </x:row>
    <x:row r="239" ht="40" customHeight="1">
      <x:c r="A239" s="39" t="str">
        <x:v>SRC00238</x:v>
      </x:c>
      <x:c r="B239" s="39" t="str">
        <x:v>https://www.armilar.com/why-armilar</x:v>
      </x:c>
      <x:c r="C239" s="39" t="str">
        <x:v>www.armilar.com</x:v>
      </x:c>
      <x:c r="D239" s="39" t="str">
        <x:v>Perfil / equipa</x:v>
      </x:c>
      <x:c r="E239" s="39" t="str">
        <x:v>Pessoa</x:v>
      </x:c>
      <x:c r="F239" s="39" t="str">
        <x:v>PER0184</x:v>
      </x:c>
      <x:c r="G239" s="44" t="str">
        <x:v>2026-09-09</x:v>
      </x:c>
      <x:c r="H239" s="39" t="str">
        <x:v>Ativa</x:v>
      </x:c>
      <x:c r="I239" s="39" t="str">
        <x:v>Fonte pública; verificar novamente antes de outreach.</x:v>
      </x:c>
    </x:row>
    <x:row r="240" ht="40" customHeight="1">
      <x:c r="A240" s="39" t="str">
        <x:v>SRC00239</x:v>
      </x:c>
      <x:c r="B240" s="39" t="str">
        <x:v>https://www.armilar.com/why-armilar</x:v>
      </x:c>
      <x:c r="C240" s="39" t="str">
        <x:v>www.armilar.com</x:v>
      </x:c>
      <x:c r="D240" s="39" t="str">
        <x:v>Perfil / equipa</x:v>
      </x:c>
      <x:c r="E240" s="39" t="str">
        <x:v>Pessoa</x:v>
      </x:c>
      <x:c r="F240" s="39" t="str">
        <x:v>PER0185</x:v>
      </x:c>
      <x:c r="G240" s="44" t="str">
        <x:v>2026-09-09</x:v>
      </x:c>
      <x:c r="H240" s="39" t="str">
        <x:v>Ativa</x:v>
      </x:c>
      <x:c r="I240" s="39" t="str">
        <x:v>Fonte pública; verificar novamente antes de outreach.</x:v>
      </x:c>
    </x:row>
    <x:row r="241" ht="40" customHeight="1">
      <x:c r="A241" s="39" t="str">
        <x:v>SRC00240</x:v>
      </x:c>
      <x:c r="B241" s="39" t="str">
        <x:v>https://hoxtonventures.com/team/</x:v>
      </x:c>
      <x:c r="C241" s="39" t="str">
        <x:v>hoxtonventures.com</x:v>
      </x:c>
      <x:c r="D241" s="39" t="str">
        <x:v>Perfil / equipa</x:v>
      </x:c>
      <x:c r="E241" s="39" t="str">
        <x:v>Pessoa</x:v>
      </x:c>
      <x:c r="F241" s="39" t="str">
        <x:v>PER0186</x:v>
      </x:c>
      <x:c r="G241" s="44" t="str">
        <x:v>2026-09-09</x:v>
      </x:c>
      <x:c r="H241" s="39" t="str">
        <x:v>Ativa</x:v>
      </x:c>
      <x:c r="I241" s="39" t="str">
        <x:v>Fonte pública; verificar novamente antes de outreach.</x:v>
      </x:c>
    </x:row>
    <x:row r="242" ht="40" customHeight="1">
      <x:c r="A242" s="39" t="str">
        <x:v>SRC00241</x:v>
      </x:c>
      <x:c r="B242" s="39" t="str">
        <x:v>https://hoxtonventures.com/team/</x:v>
      </x:c>
      <x:c r="C242" s="39" t="str">
        <x:v>hoxtonventures.com</x:v>
      </x:c>
      <x:c r="D242" s="39" t="str">
        <x:v>Perfil / equipa</x:v>
      </x:c>
      <x:c r="E242" s="39" t="str">
        <x:v>Pessoa</x:v>
      </x:c>
      <x:c r="F242" s="39" t="str">
        <x:v>PER0187</x:v>
      </x:c>
      <x:c r="G242" s="44" t="str">
        <x:v>2026-09-09</x:v>
      </x:c>
      <x:c r="H242" s="39" t="str">
        <x:v>Ativa</x:v>
      </x:c>
      <x:c r="I242" s="39" t="str">
        <x:v>Fonte pública; verificar novamente antes de outreach.</x:v>
      </x:c>
    </x:row>
    <x:row r="243" ht="40" customHeight="1">
      <x:c r="A243" s="39" t="str">
        <x:v>SRC00242</x:v>
      </x:c>
      <x:c r="B243" s="39" t="str">
        <x:v>https://hoxtonventures.com/team/</x:v>
      </x:c>
      <x:c r="C243" s="39" t="str">
        <x:v>hoxtonventures.com</x:v>
      </x:c>
      <x:c r="D243" s="39" t="str">
        <x:v>Perfil / equipa</x:v>
      </x:c>
      <x:c r="E243" s="39" t="str">
        <x:v>Pessoa</x:v>
      </x:c>
      <x:c r="F243" s="39" t="str">
        <x:v>PER0188</x:v>
      </x:c>
      <x:c r="G243" s="44" t="str">
        <x:v>2026-09-09</x:v>
      </x:c>
      <x:c r="H243" s="39" t="str">
        <x:v>Ativa</x:v>
      </x:c>
      <x:c r="I243" s="39" t="str">
        <x:v>Fonte pública; verificar novamente antes de outreach.</x:v>
      </x:c>
    </x:row>
    <x:row r="244" ht="40" customHeight="1">
      <x:c r="A244" s="39" t="str">
        <x:v>SRC00243</x:v>
      </x:c>
      <x:c r="B244" s="39" t="str">
        <x:v>https://hoxtonventures.com/team/</x:v>
      </x:c>
      <x:c r="C244" s="39" t="str">
        <x:v>hoxtonventures.com</x:v>
      </x:c>
      <x:c r="D244" s="39" t="str">
        <x:v>Perfil / equipa</x:v>
      </x:c>
      <x:c r="E244" s="39" t="str">
        <x:v>Pessoa</x:v>
      </x:c>
      <x:c r="F244" s="39" t="str">
        <x:v>PER0189</x:v>
      </x:c>
      <x:c r="G244" s="44" t="str">
        <x:v>2026-09-09</x:v>
      </x:c>
      <x:c r="H244" s="39" t="str">
        <x:v>Ativa</x:v>
      </x:c>
      <x:c r="I244" s="39" t="str">
        <x:v>Fonte pública; verificar novamente antes de outreach.</x:v>
      </x:c>
    </x:row>
    <x:row r="245" ht="40" customHeight="1">
      <x:c r="A245" s="39" t="str">
        <x:v>SRC00244</x:v>
      </x:c>
      <x:c r="B245" s="39" t="str">
        <x:v>https://kindredcapital.vc/</x:v>
      </x:c>
      <x:c r="C245" s="39" t="str">
        <x:v>kindredcapital.vc</x:v>
      </x:c>
      <x:c r="D245" s="39" t="str">
        <x:v>Perfil / equipa</x:v>
      </x:c>
      <x:c r="E245" s="39" t="str">
        <x:v>Pessoa</x:v>
      </x:c>
      <x:c r="F245" s="39" t="str">
        <x:v>PER0190</x:v>
      </x:c>
      <x:c r="G245" s="44" t="str">
        <x:v>2026-09-09</x:v>
      </x:c>
      <x:c r="H245" s="39" t="str">
        <x:v>Ativa</x:v>
      </x:c>
      <x:c r="I245" s="39" t="str">
        <x:v>Fonte pública; verificar novamente antes de outreach.</x:v>
      </x:c>
    </x:row>
    <x:row r="246" ht="40" customHeight="1">
      <x:c r="A246" s="39" t="str">
        <x:v>SRC00245</x:v>
      </x:c>
      <x:c r="B246" s="39" t="str">
        <x:v>https://kindredcapital.vc/</x:v>
      </x:c>
      <x:c r="C246" s="39" t="str">
        <x:v>kindredcapital.vc</x:v>
      </x:c>
      <x:c r="D246" s="39" t="str">
        <x:v>Perfil / equipa</x:v>
      </x:c>
      <x:c r="E246" s="39" t="str">
        <x:v>Pessoa</x:v>
      </x:c>
      <x:c r="F246" s="39" t="str">
        <x:v>PER0191</x:v>
      </x:c>
      <x:c r="G246" s="44" t="str">
        <x:v>2026-09-09</x:v>
      </x:c>
      <x:c r="H246" s="39" t="str">
        <x:v>Ativa</x:v>
      </x:c>
      <x:c r="I246" s="39" t="str">
        <x:v>Fonte pública; verificar novamente antes de outreach.</x:v>
      </x:c>
    </x:row>
    <x:row r="247" ht="40" customHeight="1">
      <x:c r="A247" s="39" t="str">
        <x:v>SRC00246</x:v>
      </x:c>
      <x:c r="B247" s="39" t="str">
        <x:v>https://kindredcapital.vc/</x:v>
      </x:c>
      <x:c r="C247" s="39" t="str">
        <x:v>kindredcapital.vc</x:v>
      </x:c>
      <x:c r="D247" s="39" t="str">
        <x:v>Perfil / equipa</x:v>
      </x:c>
      <x:c r="E247" s="39" t="str">
        <x:v>Pessoa</x:v>
      </x:c>
      <x:c r="F247" s="39" t="str">
        <x:v>PER0192</x:v>
      </x:c>
      <x:c r="G247" s="44" t="str">
        <x:v>2026-09-09</x:v>
      </x:c>
      <x:c r="H247" s="39" t="str">
        <x:v>Ativa</x:v>
      </x:c>
      <x:c r="I247" s="39" t="str">
        <x:v>Fonte pública; verificar novamente antes de outreach.</x:v>
      </x:c>
    </x:row>
    <x:row r="248" ht="40" customHeight="1">
      <x:c r="A248" s="39" t="str">
        <x:v>SRC00247</x:v>
      </x:c>
      <x:c r="B248" s="39" t="str">
        <x:v>https://kindredcapital.vc/</x:v>
      </x:c>
      <x:c r="C248" s="39" t="str">
        <x:v>kindredcapital.vc</x:v>
      </x:c>
      <x:c r="D248" s="39" t="str">
        <x:v>Perfil / equipa</x:v>
      </x:c>
      <x:c r="E248" s="39" t="str">
        <x:v>Pessoa</x:v>
      </x:c>
      <x:c r="F248" s="39" t="str">
        <x:v>PER0193</x:v>
      </x:c>
      <x:c r="G248" s="44" t="str">
        <x:v>2026-09-09</x:v>
      </x:c>
      <x:c r="H248" s="39" t="str">
        <x:v>Ativa</x:v>
      </x:c>
      <x:c r="I248" s="39" t="str">
        <x:v>Fonte pública; verificar novamente antes de outreach.</x:v>
      </x:c>
    </x:row>
    <x:row r="249" ht="40" customHeight="1">
      <x:c r="A249" s="39" t="str">
        <x:v>SRC00248</x:v>
      </x:c>
      <x:c r="B249" s="39" t="str">
        <x:v>https://kindredcapital.vc/</x:v>
      </x:c>
      <x:c r="C249" s="39" t="str">
        <x:v>kindredcapital.vc</x:v>
      </x:c>
      <x:c r="D249" s="39" t="str">
        <x:v>Perfil / equipa</x:v>
      </x:c>
      <x:c r="E249" s="39" t="str">
        <x:v>Pessoa</x:v>
      </x:c>
      <x:c r="F249" s="39" t="str">
        <x:v>PER0194</x:v>
      </x:c>
      <x:c r="G249" s="44" t="str">
        <x:v>2026-09-09</x:v>
      </x:c>
      <x:c r="H249" s="39" t="str">
        <x:v>Ativa</x:v>
      </x:c>
      <x:c r="I249" s="39" t="str">
        <x:v>Fonte pública; verificar novamente antes de outreach.</x:v>
      </x:c>
    </x:row>
    <x:row r="250" ht="40" customHeight="1">
      <x:c r="A250" s="39" t="str">
        <x:v>SRC00249</x:v>
      </x:c>
      <x:c r="B250" s="39" t="str">
        <x:v>https://kindredcapital.vc/</x:v>
      </x:c>
      <x:c r="C250" s="39" t="str">
        <x:v>kindredcapital.vc</x:v>
      </x:c>
      <x:c r="D250" s="39" t="str">
        <x:v>Perfil / equipa</x:v>
      </x:c>
      <x:c r="E250" s="39" t="str">
        <x:v>Pessoa</x:v>
      </x:c>
      <x:c r="F250" s="39" t="str">
        <x:v>PER0195</x:v>
      </x:c>
      <x:c r="G250" s="44" t="str">
        <x:v>2026-09-09</x:v>
      </x:c>
      <x:c r="H250" s="39" t="str">
        <x:v>Ativa</x:v>
      </x:c>
      <x:c r="I250" s="39" t="str">
        <x:v>Fonte pública; verificar novamente antes de outreach.</x:v>
      </x:c>
    </x:row>
    <x:row r="251" ht="40" customHeight="1">
      <x:c r="A251" s="39" t="str">
        <x:v>SRC00250</x:v>
      </x:c>
      <x:c r="B251" s="39" t="str">
        <x:v>https://kindredcapital.vc/</x:v>
      </x:c>
      <x:c r="C251" s="39" t="str">
        <x:v>kindredcapital.vc</x:v>
      </x:c>
      <x:c r="D251" s="39" t="str">
        <x:v>Perfil / equipa</x:v>
      </x:c>
      <x:c r="E251" s="39" t="str">
        <x:v>Pessoa</x:v>
      </x:c>
      <x:c r="F251" s="39" t="str">
        <x:v>PER0196</x:v>
      </x:c>
      <x:c r="G251" s="44" t="str">
        <x:v>2026-09-09</x:v>
      </x:c>
      <x:c r="H251" s="39" t="str">
        <x:v>Ativa</x:v>
      </x:c>
      <x:c r="I251" s="39" t="str">
        <x:v>Fonte pública; verificar novamente antes de outreach.</x:v>
      </x:c>
    </x:row>
    <x:row r="252" ht="40" customHeight="1">
      <x:c r="A252" s="39" t="str">
        <x:v>SRC00251</x:v>
      </x:c>
      <x:c r="B252" s="39" t="str">
        <x:v>https://kindredcapital.vc/</x:v>
      </x:c>
      <x:c r="C252" s="39" t="str">
        <x:v>kindredcapital.vc</x:v>
      </x:c>
      <x:c r="D252" s="39" t="str">
        <x:v>Perfil / equipa</x:v>
      </x:c>
      <x:c r="E252" s="39" t="str">
        <x:v>Pessoa</x:v>
      </x:c>
      <x:c r="F252" s="39" t="str">
        <x:v>PER0197</x:v>
      </x:c>
      <x:c r="G252" s="44" t="str">
        <x:v>2026-09-09</x:v>
      </x:c>
      <x:c r="H252" s="39" t="str">
        <x:v>Ativa</x:v>
      </x:c>
      <x:c r="I252" s="39" t="str">
        <x:v>Fonte pública; verificar novamente antes de outreach.</x:v>
      </x:c>
    </x:row>
    <x:row r="253" ht="40" customHeight="1">
      <x:c r="A253" s="39" t="str">
        <x:v>SRC00252</x:v>
      </x:c>
      <x:c r="B253" s="39" t="str">
        <x:v>https://www.connectventures.co/</x:v>
      </x:c>
      <x:c r="C253" s="39" t="str">
        <x:v>www.connectventures.co</x:v>
      </x:c>
      <x:c r="D253" s="39" t="str">
        <x:v>Perfil / equipa</x:v>
      </x:c>
      <x:c r="E253" s="39" t="str">
        <x:v>Pessoa</x:v>
      </x:c>
      <x:c r="F253" s="39" t="str">
        <x:v>PER0198</x:v>
      </x:c>
      <x:c r="G253" s="44" t="str">
        <x:v>2026-09-09</x:v>
      </x:c>
      <x:c r="H253" s="39" t="str">
        <x:v>Ativa</x:v>
      </x:c>
      <x:c r="I253" s="39" t="str">
        <x:v>Fonte pública; verificar novamente antes de outreach.</x:v>
      </x:c>
    </x:row>
    <x:row r="254" ht="40" customHeight="1">
      <x:c r="A254" s="39" t="str">
        <x:v>SRC00253</x:v>
      </x:c>
      <x:c r="B254" s="39" t="str">
        <x:v>https://www.connectventures.co/</x:v>
      </x:c>
      <x:c r="C254" s="39" t="str">
        <x:v>www.connectventures.co</x:v>
      </x:c>
      <x:c r="D254" s="39" t="str">
        <x:v>Perfil / equipa</x:v>
      </x:c>
      <x:c r="E254" s="39" t="str">
        <x:v>Pessoa</x:v>
      </x:c>
      <x:c r="F254" s="39" t="str">
        <x:v>PER0199</x:v>
      </x:c>
      <x:c r="G254" s="44" t="str">
        <x:v>2026-09-09</x:v>
      </x:c>
      <x:c r="H254" s="39" t="str">
        <x:v>Ativa</x:v>
      </x:c>
      <x:c r="I254" s="39" t="str">
        <x:v>Fonte pública; verificar novamente antes de outreach.</x:v>
      </x:c>
    </x:row>
    <x:row r="255" ht="40" customHeight="1">
      <x:c r="A255" s="39" t="str">
        <x:v>SRC00254</x:v>
      </x:c>
      <x:c r="B255" s="39" t="str">
        <x:v>https://www.connectventures.co/</x:v>
      </x:c>
      <x:c r="C255" s="39" t="str">
        <x:v>www.connectventures.co</x:v>
      </x:c>
      <x:c r="D255" s="39" t="str">
        <x:v>Perfil / equipa</x:v>
      </x:c>
      <x:c r="E255" s="39" t="str">
        <x:v>Pessoa</x:v>
      </x:c>
      <x:c r="F255" s="39" t="str">
        <x:v>PER0200</x:v>
      </x:c>
      <x:c r="G255" s="44" t="str">
        <x:v>2026-09-09</x:v>
      </x:c>
      <x:c r="H255" s="39" t="str">
        <x:v>Ativa</x:v>
      </x:c>
      <x:c r="I255" s="39" t="str">
        <x:v>Fonte pública; verificar novamente antes de outreach.</x:v>
      </x:c>
    </x:row>
    <x:row r="256" ht="40" customHeight="1">
      <x:c r="A256" s="39" t="str">
        <x:v>SRC00255</x:v>
      </x:c>
      <x:c r="B256" s="39" t="str">
        <x:v>https://www.heartcore.com/about</x:v>
      </x:c>
      <x:c r="C256" s="39" t="str">
        <x:v>www.heartcore.com</x:v>
      </x:c>
      <x:c r="D256" s="39" t="str">
        <x:v>Perfil / equipa</x:v>
      </x:c>
      <x:c r="E256" s="39" t="str">
        <x:v>Pessoa</x:v>
      </x:c>
      <x:c r="F256" s="39" t="str">
        <x:v>PER0201</x:v>
      </x:c>
      <x:c r="G256" s="44" t="str">
        <x:v>2026-09-09</x:v>
      </x:c>
      <x:c r="H256" s="39" t="str">
        <x:v>Ativa</x:v>
      </x:c>
      <x:c r="I256" s="39" t="str">
        <x:v>Fonte pública; verificar novamente antes de outreach.</x:v>
      </x:c>
    </x:row>
    <x:row r="257" ht="40" customHeight="1">
      <x:c r="A257" s="39" t="str">
        <x:v>SRC00256</x:v>
      </x:c>
      <x:c r="B257" s="39" t="str">
        <x:v>https://www.heartcore.com/about</x:v>
      </x:c>
      <x:c r="C257" s="39" t="str">
        <x:v>www.heartcore.com</x:v>
      </x:c>
      <x:c r="D257" s="39" t="str">
        <x:v>Perfil / equipa</x:v>
      </x:c>
      <x:c r="E257" s="39" t="str">
        <x:v>Pessoa</x:v>
      </x:c>
      <x:c r="F257" s="39" t="str">
        <x:v>PER0202</x:v>
      </x:c>
      <x:c r="G257" s="44" t="str">
        <x:v>2026-09-09</x:v>
      </x:c>
      <x:c r="H257" s="39" t="str">
        <x:v>Ativa</x:v>
      </x:c>
      <x:c r="I257" s="39" t="str">
        <x:v>Fonte pública; verificar novamente antes de outreach.</x:v>
      </x:c>
    </x:row>
    <x:row r="258" ht="40" customHeight="1">
      <x:c r="A258" s="39" t="str">
        <x:v>SRC00257</x:v>
      </x:c>
      <x:c r="B258" s="39" t="str">
        <x:v>https://www.heartcore.com/about</x:v>
      </x:c>
      <x:c r="C258" s="39" t="str">
        <x:v>www.heartcore.com</x:v>
      </x:c>
      <x:c r="D258" s="39" t="str">
        <x:v>Perfil / equipa</x:v>
      </x:c>
      <x:c r="E258" s="39" t="str">
        <x:v>Pessoa</x:v>
      </x:c>
      <x:c r="F258" s="39" t="str">
        <x:v>PER0203</x:v>
      </x:c>
      <x:c r="G258" s="44" t="str">
        <x:v>2026-09-09</x:v>
      </x:c>
      <x:c r="H258" s="39" t="str">
        <x:v>Ativa</x:v>
      </x:c>
      <x:c r="I258" s="39" t="str">
        <x:v>Fonte pública; verificar novamente antes de outreach.</x:v>
      </x:c>
    </x:row>
    <x:row r="259" ht="40" customHeight="1">
      <x:c r="A259" s="39" t="str">
        <x:v>SRC00258</x:v>
      </x:c>
      <x:c r="B259" s="39" t="str">
        <x:v>https://www.heartcore.com/about</x:v>
      </x:c>
      <x:c r="C259" s="39" t="str">
        <x:v>www.heartcore.com</x:v>
      </x:c>
      <x:c r="D259" s="39" t="str">
        <x:v>Perfil / equipa</x:v>
      </x:c>
      <x:c r="E259" s="39" t="str">
        <x:v>Pessoa</x:v>
      </x:c>
      <x:c r="F259" s="39" t="str">
        <x:v>PER0204</x:v>
      </x:c>
      <x:c r="G259" s="44" t="str">
        <x:v>2026-09-09</x:v>
      </x:c>
      <x:c r="H259" s="39" t="str">
        <x:v>Ativa</x:v>
      </x:c>
      <x:c r="I259" s="39" t="str">
        <x:v>Fonte pública; verificar novamente antes de outreach.</x:v>
      </x:c>
    </x:row>
    <x:row r="260" ht="40" customHeight="1">
      <x:c r="A260" s="39" t="str">
        <x:v>SRC00259</x:v>
      </x:c>
      <x:c r="B260" s="39" t="str">
        <x:v>https://www.heartcore.com/about</x:v>
      </x:c>
      <x:c r="C260" s="39" t="str">
        <x:v>www.heartcore.com</x:v>
      </x:c>
      <x:c r="D260" s="39" t="str">
        <x:v>Perfil / equipa</x:v>
      </x:c>
      <x:c r="E260" s="39" t="str">
        <x:v>Pessoa</x:v>
      </x:c>
      <x:c r="F260" s="39" t="str">
        <x:v>PER0205</x:v>
      </x:c>
      <x:c r="G260" s="44" t="str">
        <x:v>2026-09-09</x:v>
      </x:c>
      <x:c r="H260" s="39" t="str">
        <x:v>Ativa</x:v>
      </x:c>
      <x:c r="I260" s="39" t="str">
        <x:v>Fonte pública; verificar novamente antes de outreach.</x:v>
      </x:c>
    </x:row>
    <x:row r="261" ht="40" customHeight="1">
      <x:c r="A261" s="39" t="str">
        <x:v>SRC00260</x:v>
      </x:c>
      <x:c r="B261" s="39" t="str">
        <x:v>https://www.heartcore.com/about</x:v>
      </x:c>
      <x:c r="C261" s="39" t="str">
        <x:v>www.heartcore.com</x:v>
      </x:c>
      <x:c r="D261" s="39" t="str">
        <x:v>Perfil / equipa</x:v>
      </x:c>
      <x:c r="E261" s="39" t="str">
        <x:v>Pessoa</x:v>
      </x:c>
      <x:c r="F261" s="39" t="str">
        <x:v>PER0206</x:v>
      </x:c>
      <x:c r="G261" s="44" t="str">
        <x:v>2026-09-09</x:v>
      </x:c>
      <x:c r="H261" s="39" t="str">
        <x:v>Ativa</x:v>
      </x:c>
      <x:c r="I261" s="39" t="str">
        <x:v>Fonte pública; verificar novamente antes de outreach.</x:v>
      </x:c>
    </x:row>
    <x:row r="262" ht="40" customHeight="1">
      <x:c r="A262" s="39" t="str">
        <x:v>SRC00261</x:v>
      </x:c>
      <x:c r="B262" s="39" t="str">
        <x:v>https://www.heartcore.com/about</x:v>
      </x:c>
      <x:c r="C262" s="39" t="str">
        <x:v>www.heartcore.com</x:v>
      </x:c>
      <x:c r="D262" s="39" t="str">
        <x:v>Perfil / equipa</x:v>
      </x:c>
      <x:c r="E262" s="39" t="str">
        <x:v>Pessoa</x:v>
      </x:c>
      <x:c r="F262" s="39" t="str">
        <x:v>PER0207</x:v>
      </x:c>
      <x:c r="G262" s="44" t="str">
        <x:v>2026-09-09</x:v>
      </x:c>
      <x:c r="H262" s="39" t="str">
        <x:v>Ativa</x:v>
      </x:c>
      <x:c r="I262" s="39" t="str">
        <x:v>Fonte pública; verificar novamente antes de outreach.</x:v>
      </x:c>
    </x:row>
    <x:row r="263" ht="40" customHeight="1">
      <x:c r="A263" s="39" t="str">
        <x:v>SRC00262</x:v>
      </x:c>
      <x:c r="B263" s="39" t="str">
        <x:v>https://www.heartcore.com/about</x:v>
      </x:c>
      <x:c r="C263" s="39" t="str">
        <x:v>www.heartcore.com</x:v>
      </x:c>
      <x:c r="D263" s="39" t="str">
        <x:v>Perfil / equipa</x:v>
      </x:c>
      <x:c r="E263" s="39" t="str">
        <x:v>Pessoa</x:v>
      </x:c>
      <x:c r="F263" s="39" t="str">
        <x:v>PER0208</x:v>
      </x:c>
      <x:c r="G263" s="44" t="str">
        <x:v>2026-09-09</x:v>
      </x:c>
      <x:c r="H263" s="39" t="str">
        <x:v>Ativa</x:v>
      </x:c>
      <x:c r="I263" s="39" t="str">
        <x:v>Fonte pública; verificar novamente antes de outreach.</x:v>
      </x:c>
    </x:row>
    <x:row r="264" ht="40" customHeight="1">
      <x:c r="A264" s="39" t="str">
        <x:v>SRC00263</x:v>
      </x:c>
      <x:c r="B264" s="39" t="str">
        <x:v>https://partechpartners.com/funds</x:v>
      </x:c>
      <x:c r="C264" s="39" t="str">
        <x:v>partechpartners.com</x:v>
      </x:c>
      <x:c r="D264" s="39" t="str">
        <x:v>Perfil / equipa</x:v>
      </x:c>
      <x:c r="E264" s="39" t="str">
        <x:v>Pessoa</x:v>
      </x:c>
      <x:c r="F264" s="39" t="str">
        <x:v>PER0209</x:v>
      </x:c>
      <x:c r="G264" s="44" t="str">
        <x:v>2026-09-09</x:v>
      </x:c>
      <x:c r="H264" s="39" t="str">
        <x:v>Ativa</x:v>
      </x:c>
      <x:c r="I264" s="39" t="str">
        <x:v>Fonte pública; verificar novamente antes de outreach.</x:v>
      </x:c>
    </x:row>
    <x:row r="265" ht="40" customHeight="1">
      <x:c r="A265" s="39" t="str">
        <x:v>SRC00264</x:v>
      </x:c>
      <x:c r="B265" s="39" t="str">
        <x:v>https://partechpartners.com/funds</x:v>
      </x:c>
      <x:c r="C265" s="39" t="str">
        <x:v>partechpartners.com</x:v>
      </x:c>
      <x:c r="D265" s="39" t="str">
        <x:v>Perfil / equipa</x:v>
      </x:c>
      <x:c r="E265" s="39" t="str">
        <x:v>Pessoa</x:v>
      </x:c>
      <x:c r="F265" s="39" t="str">
        <x:v>PER0210</x:v>
      </x:c>
      <x:c r="G265" s="44" t="str">
        <x:v>2026-09-09</x:v>
      </x:c>
      <x:c r="H265" s="39" t="str">
        <x:v>Ativa</x:v>
      </x:c>
      <x:c r="I265" s="39" t="str">
        <x:v>Fonte pública; verificar novamente antes de outreach.</x:v>
      </x:c>
    </x:row>
    <x:row r="266" ht="40" customHeight="1">
      <x:c r="A266" s="39" t="str">
        <x:v>SRC00265</x:v>
      </x:c>
      <x:c r="B266" s="39" t="str">
        <x:v>https://partechpartners.com/funds</x:v>
      </x:c>
      <x:c r="C266" s="39" t="str">
        <x:v>partechpartners.com</x:v>
      </x:c>
      <x:c r="D266" s="39" t="str">
        <x:v>Perfil / equipa</x:v>
      </x:c>
      <x:c r="E266" s="39" t="str">
        <x:v>Pessoa</x:v>
      </x:c>
      <x:c r="F266" s="39" t="str">
        <x:v>PER0211</x:v>
      </x:c>
      <x:c r="G266" s="44" t="str">
        <x:v>2026-09-09</x:v>
      </x:c>
      <x:c r="H266" s="39" t="str">
        <x:v>Ativa</x:v>
      </x:c>
      <x:c r="I266" s="39" t="str">
        <x:v>Fonte pública; verificar novamente antes de outreach.</x:v>
      </x:c>
    </x:row>
    <x:row r="267" ht="40" customHeight="1">
      <x:c r="A267" s="39" t="str">
        <x:v>SRC00266</x:v>
      </x:c>
      <x:c r="B267" s="39" t="str">
        <x:v>https://partechpartners.com/funds</x:v>
      </x:c>
      <x:c r="C267" s="39" t="str">
        <x:v>partechpartners.com</x:v>
      </x:c>
      <x:c r="D267" s="39" t="str">
        <x:v>Perfil / equipa</x:v>
      </x:c>
      <x:c r="E267" s="39" t="str">
        <x:v>Pessoa</x:v>
      </x:c>
      <x:c r="F267" s="39" t="str">
        <x:v>PER0212</x:v>
      </x:c>
      <x:c r="G267" s="44" t="str">
        <x:v>2026-09-09</x:v>
      </x:c>
      <x:c r="H267" s="39" t="str">
        <x:v>Ativa</x:v>
      </x:c>
      <x:c r="I267" s="39" t="str">
        <x:v>Fonte pública; verificar novamente antes de outreach.</x:v>
      </x:c>
    </x:row>
    <x:row r="268" ht="40" customHeight="1">
      <x:c r="A268" s="39" t="str">
        <x:v>SRC00267</x:v>
      </x:c>
      <x:c r="B268" s="39" t="str">
        <x:v>https://partechpartners.com/funds</x:v>
      </x:c>
      <x:c r="C268" s="39" t="str">
        <x:v>partechpartners.com</x:v>
      </x:c>
      <x:c r="D268" s="39" t="str">
        <x:v>Perfil / equipa</x:v>
      </x:c>
      <x:c r="E268" s="39" t="str">
        <x:v>Pessoa</x:v>
      </x:c>
      <x:c r="F268" s="39" t="str">
        <x:v>PER0213</x:v>
      </x:c>
      <x:c r="G268" s="44" t="str">
        <x:v>2026-09-09</x:v>
      </x:c>
      <x:c r="H268" s="39" t="str">
        <x:v>Ativa</x:v>
      </x:c>
      <x:c r="I268" s="39" t="str">
        <x:v>Fonte pública; verificar novamente antes de outreach.</x:v>
      </x:c>
    </x:row>
    <x:row r="269" ht="40" customHeight="1">
      <x:c r="A269" s="39" t="str">
        <x:v>SRC00268</x:v>
      </x:c>
      <x:c r="B269" s="39" t="str">
        <x:v>https://partechpartners.com/funds</x:v>
      </x:c>
      <x:c r="C269" s="39" t="str">
        <x:v>partechpartners.com</x:v>
      </x:c>
      <x:c r="D269" s="39" t="str">
        <x:v>Perfil / equipa</x:v>
      </x:c>
      <x:c r="E269" s="39" t="str">
        <x:v>Pessoa</x:v>
      </x:c>
      <x:c r="F269" s="39" t="str">
        <x:v>PER0214</x:v>
      </x:c>
      <x:c r="G269" s="44" t="str">
        <x:v>2026-09-09</x:v>
      </x:c>
      <x:c r="H269" s="39" t="str">
        <x:v>Ativa</x:v>
      </x:c>
      <x:c r="I269" s="39" t="str">
        <x:v>Fonte pública; verificar novamente antes de outreach.</x:v>
      </x:c>
    </x:row>
    <x:row r="270" ht="40" customHeight="1">
      <x:c r="A270" s="39" t="str">
        <x:v>SRC00269</x:v>
      </x:c>
      <x:c r="B270" s="39" t="str">
        <x:v>https://partechpartners.com/funds</x:v>
      </x:c>
      <x:c r="C270" s="39" t="str">
        <x:v>partechpartners.com</x:v>
      </x:c>
      <x:c r="D270" s="39" t="str">
        <x:v>Perfil / equipa</x:v>
      </x:c>
      <x:c r="E270" s="39" t="str">
        <x:v>Pessoa</x:v>
      </x:c>
      <x:c r="F270" s="39" t="str">
        <x:v>PER0215</x:v>
      </x:c>
      <x:c r="G270" s="44" t="str">
        <x:v>2026-09-09</x:v>
      </x:c>
      <x:c r="H270" s="39" t="str">
        <x:v>Ativa</x:v>
      </x:c>
      <x:c r="I270" s="39" t="str">
        <x:v>Fonte pública; verificar novamente antes de outreach.</x:v>
      </x:c>
    </x:row>
    <x:row r="271" ht="40" customHeight="1">
      <x:c r="A271" s="39" t="str">
        <x:v>SRC00270</x:v>
      </x:c>
      <x:c r="B271" s="39" t="str">
        <x:v>https://writing.pointnine.com/p/the-p9-guide-to-cohort-analysis-in</x:v>
      </x:c>
      <x:c r="C271" s="39" t="str">
        <x:v>writing.pointnine.com</x:v>
      </x:c>
      <x:c r="D271" s="39" t="str">
        <x:v>Artigo</x:v>
      </x:c>
      <x:c r="E271" s="39" t="str">
        <x:v>Conteúdo / hook</x:v>
      </x:c>
      <x:c r="F271" s="39" t="str">
        <x:v>HOK0001</x:v>
      </x:c>
      <x:c r="G271" s="44" t="str">
        <x:v>2026-09-09</x:v>
      </x:c>
      <x:c r="H271" s="39" t="str">
        <x:v>Ativa</x:v>
      </x:c>
      <x:c r="I271" s="39" t="str">
        <x:v>Fonte pública; verificar novamente antes de outreach.</x:v>
      </x:c>
    </x:row>
    <x:row r="272" ht="40" customHeight="1">
      <x:c r="A272" s="39" t="str">
        <x:v>SRC00271</x:v>
      </x:c>
      <x:c r="B272" s="39" t="str">
        <x:v>https://writing.pointnine.com/p/will-ai-accelerate-vertical-saas</x:v>
      </x:c>
      <x:c r="C272" s="39" t="str">
        <x:v>writing.pointnine.com</x:v>
      </x:c>
      <x:c r="D272" s="39" t="str">
        <x:v>Artigo</x:v>
      </x:c>
      <x:c r="E272" s="39" t="str">
        <x:v>Conteúdo / hook</x:v>
      </x:c>
      <x:c r="F272" s="39" t="str">
        <x:v>HOK0002</x:v>
      </x:c>
      <x:c r="G272" s="44" t="str">
        <x:v>2026-09-09</x:v>
      </x:c>
      <x:c r="H272" s="39" t="str">
        <x:v>Ativa</x:v>
      </x:c>
      <x:c r="I272" s="39" t="str">
        <x:v>Fonte pública; verificar novamente antes de outreach.</x:v>
      </x:c>
    </x:row>
    <x:row r="273" ht="40" customHeight="1">
      <x:c r="A273" s="39" t="str">
        <x:v>SRC00272</x:v>
      </x:c>
      <x:c r="B273" s="39" t="str">
        <x:v>https://seedcamp.com/people/carlos-eduardo-espinal/</x:v>
      </x:c>
      <x:c r="C273" s="39" t="str">
        <x:v>seedcamp.com</x:v>
      </x:c>
      <x:c r="D273" s="39" t="str">
        <x:v>Livro / Podcast</x:v>
      </x:c>
      <x:c r="E273" s="39" t="str">
        <x:v>Conteúdo / hook</x:v>
      </x:c>
      <x:c r="F273" s="39" t="str">
        <x:v>HOK0003</x:v>
      </x:c>
      <x:c r="G273" s="44" t="str">
        <x:v>2026-09-09</x:v>
      </x:c>
      <x:c r="H273" s="39" t="str">
        <x:v>Ativa</x:v>
      </x:c>
      <x:c r="I273" s="39" t="str">
        <x:v>Fonte pública; verificar novamente antes de outreach.</x:v>
      </x:c>
    </x:row>
    <x:row r="274" ht="40" customHeight="1">
      <x:c r="A274" s="39" t="str">
        <x:v>SRC00273</x:v>
      </x:c>
      <x:c r="B274" s="39" t="str">
        <x:v>https://seedcamp.com/people/reshma-sohoni/</x:v>
      </x:c>
      <x:c r="C274" s="39" t="str">
        <x:v>seedcamp.com</x:v>
      </x:c>
      <x:c r="D274" s="39" t="str">
        <x:v>Perfil / entrevista</x:v>
      </x:c>
      <x:c r="E274" s="39" t="str">
        <x:v>Conteúdo / hook</x:v>
      </x:c>
      <x:c r="F274" s="39" t="str">
        <x:v>HOK0004</x:v>
      </x:c>
      <x:c r="G274" s="44" t="str">
        <x:v>2026-09-09</x:v>
      </x:c>
      <x:c r="H274" s="39" t="str">
        <x:v>Ativa</x:v>
      </x:c>
      <x:c r="I274" s="39" t="str">
        <x:v>Fonte pública; verificar novamente antes de outreach.</x:v>
      </x:c>
    </x:row>
    <x:row r="275" ht="40" customHeight="1">
      <x:c r="A275" s="39" t="str">
        <x:v>SRC00274</x:v>
      </x:c>
      <x:c r="B275" s="39" t="str">
        <x:v>https://www.speedinvest.com/knowledge/the-speedinvest-saas-infra-team-introducing-our-thesis</x:v>
      </x:c>
      <x:c r="C275" s="39" t="str">
        <x:v>www.speedinvest.com</x:v>
      </x:c>
      <x:c r="D275" s="39" t="str">
        <x:v>Artigo</x:v>
      </x:c>
      <x:c r="E275" s="39" t="str">
        <x:v>Conteúdo / hook</x:v>
      </x:c>
      <x:c r="F275" s="39" t="str">
        <x:v>HOK0005</x:v>
      </x:c>
      <x:c r="G275" s="44" t="str">
        <x:v>2026-09-09</x:v>
      </x:c>
      <x:c r="H275" s="39" t="str">
        <x:v>Ativa</x:v>
      </x:c>
      <x:c r="I275" s="39" t="str">
        <x:v>Fonte pública; verificar novamente antes de outreach.</x:v>
      </x:c>
    </x:row>
    <x:row r="276" ht="40" customHeight="1">
      <x:c r="A276" s="39" t="str">
        <x:v>SRC00275</x:v>
      </x:c>
      <x:c r="B276" s="39" t="str">
        <x:v>https://www.speedinvest.com/knowledge/the-speedinvest-saas-infra-team-introducing-our-thesis</x:v>
      </x:c>
      <x:c r="C276" s="39" t="str">
        <x:v>www.speedinvest.com</x:v>
      </x:c>
      <x:c r="D276" s="39" t="str">
        <x:v>Artigo</x:v>
      </x:c>
      <x:c r="E276" s="39" t="str">
        <x:v>Conteúdo / hook</x:v>
      </x:c>
      <x:c r="F276" s="39" t="str">
        <x:v>HOK0006</x:v>
      </x:c>
      <x:c r="G276" s="44" t="str">
        <x:v>2026-09-09</x:v>
      </x:c>
      <x:c r="H276" s="39" t="str">
        <x:v>Ativa</x:v>
      </x:c>
      <x:c r="I276" s="39" t="str">
        <x:v>Fonte pública; verificar novamente antes de outreach.</x:v>
      </x:c>
    </x:row>
    <x:row r="277" ht="40" customHeight="1">
      <x:c r="A277" s="39" t="str">
        <x:v>SRC00276</x:v>
      </x:c>
      <x:c r="B277" s="39" t="str">
        <x:v>https://www.speedinvest.com/knowledge/the-speedinvest-saas-infra-team-introducing-our-thesis</x:v>
      </x:c>
      <x:c r="C277" s="39" t="str">
        <x:v>www.speedinvest.com</x:v>
      </x:c>
      <x:c r="D277" s="39" t="str">
        <x:v>Artigo</x:v>
      </x:c>
      <x:c r="E277" s="39" t="str">
        <x:v>Conteúdo / hook</x:v>
      </x:c>
      <x:c r="F277" s="39" t="str">
        <x:v>HOK0007</x:v>
      </x:c>
      <x:c r="G277" s="44" t="str">
        <x:v>2026-09-09</x:v>
      </x:c>
      <x:c r="H277" s="39" t="str">
        <x:v>Ativa</x:v>
      </x:c>
      <x:c r="I277" s="39" t="str">
        <x:v>Fonte pública; verificar novamente antes de outreach.</x:v>
      </x:c>
    </x:row>
    <x:row r="278" ht="40" customHeight="1">
      <x:c r="A278" s="39" t="str">
        <x:v>SRC00277</x:v>
      </x:c>
      <x:c r="B278" s="39" t="str">
        <x:v>https://www.speedinvest.com/team-members/marie-helene-ametsreiter</x:v>
      </x:c>
      <x:c r="C278" s="39" t="str">
        <x:v>www.speedinvest.com</x:v>
      </x:c>
      <x:c r="D278" s="39" t="str">
        <x:v>Perfil / artigo</x:v>
      </x:c>
      <x:c r="E278" s="39" t="str">
        <x:v>Conteúdo / hook</x:v>
      </x:c>
      <x:c r="F278" s="39" t="str">
        <x:v>HOK0008</x:v>
      </x:c>
      <x:c r="G278" s="44" t="str">
        <x:v>2026-09-09</x:v>
      </x:c>
      <x:c r="H278" s="39" t="str">
        <x:v>Ativa</x:v>
      </x:c>
      <x:c r="I278" s="39" t="str">
        <x:v>Fonte pública; verificar novamente antes de outreach.</x:v>
      </x:c>
    </x:row>
    <x:row r="279" ht="40" customHeight="1">
      <x:c r="A279" s="39" t="str">
        <x:v>SRC00278</x:v>
      </x:c>
      <x:c r="B279" s="39" t="str">
        <x:v>https://www.indexventures.com/team/shardul-shah/</x:v>
      </x:c>
      <x:c r="C279" s="39" t="str">
        <x:v>www.indexventures.com</x:v>
      </x:c>
      <x:c r="D279" s="39" t="str">
        <x:v>Perfil / entrevista</x:v>
      </x:c>
      <x:c r="E279" s="39" t="str">
        <x:v>Conteúdo / hook</x:v>
      </x:c>
      <x:c r="F279" s="39" t="str">
        <x:v>HOK0009</x:v>
      </x:c>
      <x:c r="G279" s="44" t="str">
        <x:v>2026-09-09</x:v>
      </x:c>
      <x:c r="H279" s="39" t="str">
        <x:v>Ativa</x:v>
      </x:c>
      <x:c r="I279" s="39" t="str">
        <x:v>Fonte pública; verificar novamente antes de outreach.</x:v>
      </x:c>
    </x:row>
    <x:row r="280" ht="40" customHeight="1">
      <x:c r="A280" s="39" t="str">
        <x:v>SRC00279</x:v>
      </x:c>
      <x:c r="B280" s="39" t="str">
        <x:v>https://20.atomico.com/</x:v>
      </x:c>
      <x:c r="C280" s="39" t="str">
        <x:v>20.atomico.com</x:v>
      </x:c>
      <x:c r="D280" s="39" t="str">
        <x:v>Perfil / reflexão</x:v>
      </x:c>
      <x:c r="E280" s="39" t="str">
        <x:v>Conteúdo / hook</x:v>
      </x:c>
      <x:c r="F280" s="39" t="str">
        <x:v>HOK0010</x:v>
      </x:c>
      <x:c r="G280" s="44" t="str">
        <x:v>2026-09-09</x:v>
      </x:c>
      <x:c r="H280" s="39" t="str">
        <x:v>Ativa</x:v>
      </x:c>
      <x:c r="I280" s="39" t="str">
        <x:v>Fonte pública; verificar novamente antes de outreach.</x:v>
      </x:c>
    </x:row>
    <x:row r="281" ht="40" customHeight="1">
      <x:c r="A281" s="39" t="str">
        <x:v>SRC00280</x:v>
      </x:c>
      <x:c r="B281" s="39" t="str">
        <x:v>https://20.atomico.com/</x:v>
      </x:c>
      <x:c r="C281" s="39" t="str">
        <x:v>20.atomico.com</x:v>
      </x:c>
      <x:c r="D281" s="39" t="str">
        <x:v>Reflexão institucional</x:v>
      </x:c>
      <x:c r="E281" s="39" t="str">
        <x:v>Conteúdo / hook</x:v>
      </x:c>
      <x:c r="F281" s="39" t="str">
        <x:v>HOK0011</x:v>
      </x:c>
      <x:c r="G281" s="44" t="str">
        <x:v>2026-09-09</x:v>
      </x:c>
      <x:c r="H281" s="39" t="str">
        <x:v>Ativa</x:v>
      </x:c>
      <x:c r="I281" s="39" t="str">
        <x:v>Fonte pública; verificar novamente antes de outreach.</x:v>
      </x:c>
    </x:row>
    <x:row r="282" ht="40" customHeight="1">
      <x:c r="A282" s="39" t="str">
        <x:v>SRC00281</x:v>
      </x:c>
      <x:c r="B282" s="39" t="str">
        <x:v>https://www.balderton.com/team/daniel-waterhouse/</x:v>
      </x:c>
      <x:c r="C282" s="39" t="str">
        <x:v>www.balderton.com</x:v>
      </x:c>
      <x:c r="D282" s="39" t="str">
        <x:v>Perfil</x:v>
      </x:c>
      <x:c r="E282" s="39" t="str">
        <x:v>Conteúdo / hook</x:v>
      </x:c>
      <x:c r="F282" s="39" t="str">
        <x:v>HOK0012</x:v>
      </x:c>
      <x:c r="G282" s="44" t="str">
        <x:v>2026-09-09</x:v>
      </x:c>
      <x:c r="H282" s="39" t="str">
        <x:v>Ativa</x:v>
      </x:c>
      <x:c r="I282" s="39" t="str">
        <x:v>Fonte pública; verificar novamente antes de outreach.</x:v>
      </x:c>
    </x:row>
    <x:row r="283" ht="40" customHeight="1">
      <x:c r="A283" s="39" t="str">
        <x:v>SRC00282</x:v>
      </x:c>
      <x:c r="B283" s="39" t="str">
        <x:v>https://www.balderton.com/team/rob-moffat/</x:v>
      </x:c>
      <x:c r="C283" s="39" t="str">
        <x:v>www.balderton.com</x:v>
      </x:c>
      <x:c r="D283" s="39" t="str">
        <x:v>Perfil</x:v>
      </x:c>
      <x:c r="E283" s="39" t="str">
        <x:v>Conteúdo / hook</x:v>
      </x:c>
      <x:c r="F283" s="39" t="str">
        <x:v>HOK0013</x:v>
      </x:c>
      <x:c r="G283" s="44" t="str">
        <x:v>2026-09-09</x:v>
      </x:c>
      <x:c r="H283" s="39" t="str">
        <x:v>Ativa</x:v>
      </x:c>
      <x:c r="I283" s="39" t="str">
        <x:v>Fonte pública; verificar novamente antes de outreach.</x:v>
      </x:c>
    </x:row>
    <x:row r="284" ht="40" customHeight="1">
      <x:c r="A284" s="39" t="str">
        <x:v>SRC00283</x:v>
      </x:c>
      <x:c r="B284" s="39" t="str">
        <x:v>https://cherry.vc/team/sophia-bendz</x:v>
      </x:c>
      <x:c r="C284" s="39" t="str">
        <x:v>cherry.vc</x:v>
      </x:c>
      <x:c r="D284" s="39" t="str">
        <x:v>Perfil</x:v>
      </x:c>
      <x:c r="E284" s="39" t="str">
        <x:v>Conteúdo / hook</x:v>
      </x:c>
      <x:c r="F284" s="39" t="str">
        <x:v>HOK0014</x:v>
      </x:c>
      <x:c r="G284" s="44" t="str">
        <x:v>2026-09-09</x:v>
      </x:c>
      <x:c r="H284" s="39" t="str">
        <x:v>Ativa</x:v>
      </x:c>
      <x:c r="I284" s="39" t="str">
        <x:v>Fonte pública; verificar novamente antes de outreach.</x:v>
      </x:c>
    </x:row>
    <x:row r="285" ht="40" customHeight="1">
      <x:c r="A285" s="39" t="str">
        <x:v>SRC00284</x:v>
      </x:c>
      <x:c r="B285" s="39" t="str">
        <x:v>https://creandum.com/team/staffan-helgesson/</x:v>
      </x:c>
      <x:c r="C285" s="39" t="str">
        <x:v>creandum.com</x:v>
      </x:c>
      <x:c r="D285" s="39" t="str">
        <x:v>Perfil / entrevistas</x:v>
      </x:c>
      <x:c r="E285" s="39" t="str">
        <x:v>Conteúdo / hook</x:v>
      </x:c>
      <x:c r="F285" s="39" t="str">
        <x:v>HOK0015</x:v>
      </x:c>
      <x:c r="G285" s="44" t="str">
        <x:v>2026-09-09</x:v>
      </x:c>
      <x:c r="H285" s="39" t="str">
        <x:v>Ativa</x:v>
      </x:c>
      <x:c r="I285" s="39" t="str">
        <x:v>Fonte pública; verificar novamente antes de outreach.</x:v>
      </x:c>
    </x:row>
    <x:row r="286" ht="40" customHeight="1">
      <x:c r="A286" s="39" t="str">
        <x:v>SRC00285</x:v>
      </x:c>
      <x:c r="B286" s="39" t="str">
        <x:v>https://creandum.com/team/carl-fritjofsson/</x:v>
      </x:c>
      <x:c r="C286" s="39" t="str">
        <x:v>creandum.com</x:v>
      </x:c>
      <x:c r="D286" s="39" t="str">
        <x:v>Perfil / podcast</x:v>
      </x:c>
      <x:c r="E286" s="39" t="str">
        <x:v>Conteúdo / hook</x:v>
      </x:c>
      <x:c r="F286" s="39" t="str">
        <x:v>HOK0016</x:v>
      </x:c>
      <x:c r="G286" s="44" t="str">
        <x:v>2026-09-09</x:v>
      </x:c>
      <x:c r="H286" s="39" t="str">
        <x:v>Ativa</x:v>
      </x:c>
      <x:c r="I286" s="39" t="str">
        <x:v>Fonte pública; verificar novamente antes de outreach.</x:v>
      </x:c>
    </x:row>
    <x:row r="287" ht="40" customHeight="1">
      <x:c r="A287" s="39" t="str">
        <x:v>SRC00286</x:v>
      </x:c>
      <x:c r="B287" s="39" t="str">
        <x:v>https://creandum.com/team/jakob-stein/</x:v>
      </x:c>
      <x:c r="C287" s="39" t="str">
        <x:v>creandum.com</x:v>
      </x:c>
      <x:c r="D287" s="39" t="str">
        <x:v>Perfil</x:v>
      </x:c>
      <x:c r="E287" s="39" t="str">
        <x:v>Conteúdo / hook</x:v>
      </x:c>
      <x:c r="F287" s="39" t="str">
        <x:v>HOK0017</x:v>
      </x:c>
      <x:c r="G287" s="44" t="str">
        <x:v>2026-09-09</x:v>
      </x:c>
      <x:c r="H287" s="39" t="str">
        <x:v>Ativa</x:v>
      </x:c>
      <x:c r="I287" s="39" t="str">
        <x:v>Fonte pública; verificar novamente antes de outreach.</x:v>
      </x:c>
    </x:row>
    <x:row r="288" ht="40" customHeight="1">
      <x:c r="A288" s="39" t="str">
        <x:v>SRC00287</x:v>
      </x:c>
      <x:c r="B288" s="39" t="str">
        <x:v>https://creandum.com/team/richard-keuntje/</x:v>
      </x:c>
      <x:c r="C288" s="39" t="str">
        <x:v>creandum.com</x:v>
      </x:c>
      <x:c r="D288" s="39" t="str">
        <x:v>Perfil</x:v>
      </x:c>
      <x:c r="E288" s="39" t="str">
        <x:v>Conteúdo / hook</x:v>
      </x:c>
      <x:c r="F288" s="39" t="str">
        <x:v>HOK0018</x:v>
      </x:c>
      <x:c r="G288" s="44" t="str">
        <x:v>2026-09-09</x:v>
      </x:c>
      <x:c r="H288" s="39" t="str">
        <x:v>Ativa</x:v>
      </x:c>
      <x:c r="I288" s="39" t="str">
        <x:v>Fonte pública; verificar novamente antes de outreach.</x:v>
      </x:c>
    </x:row>
    <x:row r="289" ht="40" customHeight="1">
      <x:c r="A289" s="39" t="str">
        <x:v>SRC00288</x:v>
      </x:c>
      <x:c r="B289" s="39" t="str">
        <x:v>https://creandum.com/team/maria-raga/</x:v>
      </x:c>
      <x:c r="C289" s="39" t="str">
        <x:v>creandum.com</x:v>
      </x:c>
      <x:c r="D289" s="39" t="str">
        <x:v>Perfil</x:v>
      </x:c>
      <x:c r="E289" s="39" t="str">
        <x:v>Conteúdo / hook</x:v>
      </x:c>
      <x:c r="F289" s="39" t="str">
        <x:v>HOK0019</x:v>
      </x:c>
      <x:c r="G289" s="44" t="str">
        <x:v>2026-09-09</x:v>
      </x:c>
      <x:c r="H289" s="39" t="str">
        <x:v>Ativa</x:v>
      </x:c>
      <x:c r="I289" s="39" t="str">
        <x:v>Fonte pública; verificar novamente antes de outreach.</x:v>
      </x:c>
    </x:row>
    <x:row r="290" ht="40" customHeight="1">
      <x:c r="A290" s="39" t="str">
        <x:v>SRC00289</x:v>
      </x:c>
      <x:c r="B290" s="39" t="str">
        <x:v>https://northzone.com/team/par-jorgen-parson?f411be3b_page=1</x:v>
      </x:c>
      <x:c r="C290" s="39" t="str">
        <x:v>northzone.com</x:v>
      </x:c>
      <x:c r="D290" s="39" t="str">
        <x:v>Perfil</x:v>
      </x:c>
      <x:c r="E290" s="39" t="str">
        <x:v>Conteúdo / hook</x:v>
      </x:c>
      <x:c r="F290" s="39" t="str">
        <x:v>HOK0020</x:v>
      </x:c>
      <x:c r="G290" s="44" t="str">
        <x:v>2026-09-09</x:v>
      </x:c>
      <x:c r="H290" s="39" t="str">
        <x:v>Ativa</x:v>
      </x:c>
      <x:c r="I290" s="39" t="str">
        <x:v>Fonte pública; verificar novamente antes de outreach.</x:v>
      </x:c>
    </x:row>
    <x:row r="291" ht="40" customHeight="1">
      <x:c r="A291" s="39" t="str">
        <x:v>SRC00290</x:v>
      </x:c>
      <x:c r="B291" s="39" t="str">
        <x:v>https://northzone.com/insights/hypothesis-led-investing-how-we-institutionalised-gut-driven-investing-and-our-learnings-from-spring-healths-investment-memo</x:v>
      </x:c>
      <x:c r="C291" s="39" t="str">
        <x:v>northzone.com</x:v>
      </x:c>
      <x:c r="D291" s="39" t="str">
        <x:v>Artigo</x:v>
      </x:c>
      <x:c r="E291" s="39" t="str">
        <x:v>Conteúdo / hook</x:v>
      </x:c>
      <x:c r="F291" s="39" t="str">
        <x:v>HOK0021</x:v>
      </x:c>
      <x:c r="G291" s="44" t="str">
        <x:v>2026-09-09</x:v>
      </x:c>
      <x:c r="H291" s="39" t="str">
        <x:v>Ativa</x:v>
      </x:c>
      <x:c r="I291" s="39" t="str">
        <x:v>Fonte pública; verificar novamente antes de outreach.</x:v>
      </x:c>
    </x:row>
    <x:row r="292" ht="40" customHeight="1">
      <x:c r="A292" s="39" t="str">
        <x:v>SRC00291</x:v>
      </x:c>
      <x:c r="B292" s="39" t="str">
        <x:v>https://northzone.com/team/sanjot-malhi</x:v>
      </x:c>
      <x:c r="C292" s="39" t="str">
        <x:v>northzone.com</x:v>
      </x:c>
      <x:c r="D292" s="39" t="str">
        <x:v>Perfil</x:v>
      </x:c>
      <x:c r="E292" s="39" t="str">
        <x:v>Conteúdo / hook</x:v>
      </x:c>
      <x:c r="F292" s="39" t="str">
        <x:v>HOK0022</x:v>
      </x:c>
      <x:c r="G292" s="44" t="str">
        <x:v>2026-09-09</x:v>
      </x:c>
      <x:c r="H292" s="39" t="str">
        <x:v>Ativa</x:v>
      </x:c>
      <x:c r="I292" s="39" t="str">
        <x:v>Fonte pública; verificar novamente antes de outreach.</x:v>
      </x:c>
    </x:row>
    <x:row r="293" ht="40" customHeight="1">
      <x:c r="A293" s="39" t="str">
        <x:v>SRC00292</x:v>
      </x:c>
      <x:c r="B293" s="39" t="str">
        <x:v>https://www.project-a.com/team/philipp-werner/</x:v>
      </x:c>
      <x:c r="C293" s="39" t="str">
        <x:v>www.project-a.com</x:v>
      </x:c>
      <x:c r="D293" s="39" t="str">
        <x:v>Perfil</x:v>
      </x:c>
      <x:c r="E293" s="39" t="str">
        <x:v>Conteúdo / hook</x:v>
      </x:c>
      <x:c r="F293" s="39" t="str">
        <x:v>HOK0023</x:v>
      </x:c>
      <x:c r="G293" s="44" t="str">
        <x:v>2026-09-09</x:v>
      </x:c>
      <x:c r="H293" s="39" t="str">
        <x:v>Ativa</x:v>
      </x:c>
      <x:c r="I293" s="39" t="str">
        <x:v>Fonte pública; verificar novamente antes de outreach.</x:v>
      </x:c>
    </x:row>
    <x:row r="294" ht="40" customHeight="1">
      <x:c r="A294" s="39" t="str">
        <x:v>SRC00293</x:v>
      </x:c>
      <x:c r="B294" s="39" t="str">
        <x:v>https://insights.project-a.com/from-early-conviction-to-category-leader/</x:v>
      </x:c>
      <x:c r="C294" s="39" t="str">
        <x:v>insights.project-a.com</x:v>
      </x:c>
      <x:c r="D294" s="39" t="str">
        <x:v>Artigo</x:v>
      </x:c>
      <x:c r="E294" s="39" t="str">
        <x:v>Conteúdo / hook</x:v>
      </x:c>
      <x:c r="F294" s="39" t="str">
        <x:v>HOK0024</x:v>
      </x:c>
      <x:c r="G294" s="44" t="str">
        <x:v>2026-09-09</x:v>
      </x:c>
      <x:c r="H294" s="39" t="str">
        <x:v>Ativa</x:v>
      </x:c>
      <x:c r="I294" s="39" t="str">
        <x:v>Fonte pública; verificar novamente antes de outreach.</x:v>
      </x:c>
    </x:row>
    <x:row r="295" ht="40" customHeight="1">
      <x:c r="A295" s="39" t="str">
        <x:v>SRC00294</x:v>
      </x:c>
      <x:c r="B295" s="39" t="str">
        <x:v>https://www.project-a.com/team/florian-heinemann</x:v>
      </x:c>
      <x:c r="C295" s="39" t="str">
        <x:v>www.project-a.com</x:v>
      </x:c>
      <x:c r="D295" s="39" t="str">
        <x:v>Perfil</x:v>
      </x:c>
      <x:c r="E295" s="39" t="str">
        <x:v>Conteúdo / hook</x:v>
      </x:c>
      <x:c r="F295" s="39" t="str">
        <x:v>HOK0025</x:v>
      </x:c>
      <x:c r="G295" s="44" t="str">
        <x:v>2026-09-09</x:v>
      </x:c>
      <x:c r="H295" s="39" t="str">
        <x:v>Ativa</x:v>
      </x:c>
      <x:c r="I295" s="39" t="str">
        <x:v>Fonte pública; verificar novamente antes de outreach.</x:v>
      </x:c>
    </x:row>
    <x:row r="296" ht="40" customHeight="1">
      <x:c r="A296" s="39" t="str">
        <x:v>SRC00295</x:v>
      </x:c>
      <x:c r="B296" s="39" t="str">
        <x:v>https://www.project-a.com/team/uwe-horstmann/</x:v>
      </x:c>
      <x:c r="C296" s="39" t="str">
        <x:v>www.project-a.com</x:v>
      </x:c>
      <x:c r="D296" s="39" t="str">
        <x:v>Perfil</x:v>
      </x:c>
      <x:c r="E296" s="39" t="str">
        <x:v>Conteúdo / hook</x:v>
      </x:c>
      <x:c r="F296" s="39" t="str">
        <x:v>HOK0026</x:v>
      </x:c>
      <x:c r="G296" s="44" t="str">
        <x:v>2026-09-09</x:v>
      </x:c>
      <x:c r="H296" s="39" t="str">
        <x:v>Ativa</x:v>
      </x:c>
      <x:c r="I296" s="39" t="str">
        <x:v>Fonte pública; verificar novamente antes de outreach.</x:v>
      </x:c>
    </x:row>
    <x:row r="297" ht="40" customHeight="1">
      <x:c r="A297" s="39" t="str">
        <x:v>SRC00296</x:v>
      </x:c>
      <x:c r="B297" s="39" t="str">
        <x:v>https://www.project-a.com/team/malin-posern</x:v>
      </x:c>
      <x:c r="C297" s="39" t="str">
        <x:v>www.project-a.com</x:v>
      </x:c>
      <x:c r="D297" s="39" t="str">
        <x:v>Perfil</x:v>
      </x:c>
      <x:c r="E297" s="39" t="str">
        <x:v>Conteúdo / hook</x:v>
      </x:c>
      <x:c r="F297" s="39" t="str">
        <x:v>HOK0027</x:v>
      </x:c>
      <x:c r="G297" s="44" t="str">
        <x:v>2026-09-09</x:v>
      </x:c>
      <x:c r="H297" s="39" t="str">
        <x:v>Ativa</x:v>
      </x:c>
      <x:c r="I297" s="39" t="str">
        <x:v>Fonte pública; verificar novamente antes de outreach.</x:v>
      </x:c>
    </x:row>
    <x:row r="298" ht="40" customHeight="1">
      <x:c r="A298" s="39" t="str">
        <x:v>SRC00297</x:v>
      </x:c>
      <x:c r="B298" s="39" t="str">
        <x:v>https://www.dawncapital.com/team/josh-bell</x:v>
      </x:c>
      <x:c r="C298" s="39" t="str">
        <x:v>www.dawncapital.com</x:v>
      </x:c>
      <x:c r="D298" s="39" t="str">
        <x:v>Perfil / entrevista</x:v>
      </x:c>
      <x:c r="E298" s="39" t="str">
        <x:v>Conteúdo / hook</x:v>
      </x:c>
      <x:c r="F298" s="39" t="str">
        <x:v>HOK0028</x:v>
      </x:c>
      <x:c r="G298" s="44" t="str">
        <x:v>2026-09-09</x:v>
      </x:c>
      <x:c r="H298" s="39" t="str">
        <x:v>Ativa</x:v>
      </x:c>
      <x:c r="I298" s="39" t="str">
        <x:v>Fonte pública; verificar novamente antes de outreach.</x:v>
      </x:c>
    </x:row>
    <x:row r="299" ht="40" customHeight="1">
      <x:c r="A299" s="39" t="str">
        <x:v>SRC00298</x:v>
      </x:c>
      <x:c r="B299" s="39" t="str">
        <x:v>https://www.dawncapital.com/team/norman-fiore</x:v>
      </x:c>
      <x:c r="C299" s="39" t="str">
        <x:v>www.dawncapital.com</x:v>
      </x:c>
      <x:c r="D299" s="39" t="str">
        <x:v>Perfil / artigos</x:v>
      </x:c>
      <x:c r="E299" s="39" t="str">
        <x:v>Conteúdo / hook</x:v>
      </x:c>
      <x:c r="F299" s="39" t="str">
        <x:v>HOK0029</x:v>
      </x:c>
      <x:c r="G299" s="44" t="str">
        <x:v>2026-09-09</x:v>
      </x:c>
      <x:c r="H299" s="39" t="str">
        <x:v>Ativa</x:v>
      </x:c>
      <x:c r="I299" s="39" t="str">
        <x:v>Fonte pública; verificar novamente antes de outreach.</x:v>
      </x:c>
    </x:row>
    <x:row r="300" ht="40" customHeight="1">
      <x:c r="A300" s="39" t="str">
        <x:v>SRC00299</x:v>
      </x:c>
      <x:c r="B300" s="39" t="str">
        <x:v>https://dawncapital.com/author/norman/</x:v>
      </x:c>
      <x:c r="C300" s="39" t="str">
        <x:v>dawncapital.com</x:v>
      </x:c>
      <x:c r="D300" s="39" t="str">
        <x:v>Artigo</x:v>
      </x:c>
      <x:c r="E300" s="39" t="str">
        <x:v>Conteúdo / hook</x:v>
      </x:c>
      <x:c r="F300" s="39" t="str">
        <x:v>HOK0030</x:v>
      </x:c>
      <x:c r="G300" s="44" t="str">
        <x:v>2026-09-09</x:v>
      </x:c>
      <x:c r="H300" s="39" t="str">
        <x:v>Ativa</x:v>
      </x:c>
      <x:c r="I300" s="39" t="str">
        <x:v>Fonte pública; verificar novamente antes de outreach.</x:v>
      </x:c>
    </x:row>
    <x:row r="301" ht="40" customHeight="1">
      <x:c r="A301" s="39" t="str">
        <x:v>SRC00300</x:v>
      </x:c>
      <x:c r="B301" s="39" t="str">
        <x:v>https://www.dawncapital.com/team/evgenia-plotnikova</x:v>
      </x:c>
      <x:c r="C301" s="39" t="str">
        <x:v>www.dawncapital.com</x:v>
      </x:c>
      <x:c r="D301" s="39" t="str">
        <x:v>Perfil</x:v>
      </x:c>
      <x:c r="E301" s="39" t="str">
        <x:v>Conteúdo / hook</x:v>
      </x:c>
      <x:c r="F301" s="39" t="str">
        <x:v>HOK0031</x:v>
      </x:c>
      <x:c r="G301" s="44" t="str">
        <x:v>2026-09-09</x:v>
      </x:c>
      <x:c r="H301" s="39" t="str">
        <x:v>Ativa</x:v>
      </x:c>
      <x:c r="I301" s="39" t="str">
        <x:v>Fonte pública; verificar novamente antes de outreach.</x:v>
      </x:c>
    </x:row>
    <x:row r="302" ht="40" customHeight="1">
      <x:c r="A302" s="39" t="str">
        <x:v>SRC00301</x:v>
      </x:c>
      <x:c r="B302" s="39" t="str">
        <x:v>https://www.dawncapital.com/team/shamillah-bankiya</x:v>
      </x:c>
      <x:c r="C302" s="39" t="str">
        <x:v>www.dawncapital.com</x:v>
      </x:c>
      <x:c r="D302" s="39" t="str">
        <x:v>Perfil</x:v>
      </x:c>
      <x:c r="E302" s="39" t="str">
        <x:v>Conteúdo / hook</x:v>
      </x:c>
      <x:c r="F302" s="39" t="str">
        <x:v>HOK0032</x:v>
      </x:c>
      <x:c r="G302" s="44" t="str">
        <x:v>2026-09-09</x:v>
      </x:c>
      <x:c r="H302" s="39" t="str">
        <x:v>Ativa</x:v>
      </x:c>
      <x:c r="I302" s="39" t="str">
        <x:v>Fonte pública; verificar novamente antes de outreach.</x:v>
      </x:c>
    </x:row>
    <x:row r="303" ht="40" customHeight="1">
      <x:c r="A303" s="39" t="str">
        <x:v>SRC00302</x:v>
      </x:c>
      <x:c r="B303" s="39" t="str">
        <x:v>https://www.dawncapital.com/team/dan-chaplin</x:v>
      </x:c>
      <x:c r="C303" s="39" t="str">
        <x:v>www.dawncapital.com</x:v>
      </x:c>
      <x:c r="D303" s="39" t="str">
        <x:v>Perfil</x:v>
      </x:c>
      <x:c r="E303" s="39" t="str">
        <x:v>Conteúdo / hook</x:v>
      </x:c>
      <x:c r="F303" s="39" t="str">
        <x:v>HOK0033</x:v>
      </x:c>
      <x:c r="G303" s="44" t="str">
        <x:v>2026-09-09</x:v>
      </x:c>
      <x:c r="H303" s="39" t="str">
        <x:v>Ativa</x:v>
      </x:c>
      <x:c r="I303" s="39" t="str">
        <x:v>Fonte pública; verificar novamente antes de outreach.</x:v>
      </x:c>
    </x:row>
    <x:row r="304" ht="40" customHeight="1">
      <x:c r="A304" s="39" t="str">
        <x:v>SRC00303</x:v>
      </x:c>
      <x:c r="B304" s="39" t="str">
        <x:v>https://octopusventures.com/team/b2b-software/paul-davidson/</x:v>
      </x:c>
      <x:c r="C304" s="39" t="str">
        <x:v>octopusventures.com</x:v>
      </x:c>
      <x:c r="D304" s="39" t="str">
        <x:v>Perfil</x:v>
      </x:c>
      <x:c r="E304" s="39" t="str">
        <x:v>Conteúdo / hook</x:v>
      </x:c>
      <x:c r="F304" s="39" t="str">
        <x:v>HOK0034</x:v>
      </x:c>
      <x:c r="G304" s="44" t="str">
        <x:v>2026-09-09</x:v>
      </x:c>
      <x:c r="H304" s="39" t="str">
        <x:v>Ativa</x:v>
      </x:c>
      <x:c r="I304" s="39" t="str">
        <x:v>Fonte pública; verificar novamente antes de outreach.</x:v>
      </x:c>
    </x:row>
    <x:row r="305" ht="40" customHeight="1">
      <x:c r="A305" s="39" t="str">
        <x:v>SRC00304</x:v>
      </x:c>
      <x:c r="B305" s="39" t="str">
        <x:v>https://octopusventures.com/team/health/will-gibbs/</x:v>
      </x:c>
      <x:c r="C305" s="39" t="str">
        <x:v>octopusventures.com</x:v>
      </x:c>
      <x:c r="D305" s="39" t="str">
        <x:v>Perfil</x:v>
      </x:c>
      <x:c r="E305" s="39" t="str">
        <x:v>Conteúdo / hook</x:v>
      </x:c>
      <x:c r="F305" s="39" t="str">
        <x:v>HOK0035</x:v>
      </x:c>
      <x:c r="G305" s="44" t="str">
        <x:v>2026-09-09</x:v>
      </x:c>
      <x:c r="H305" s="39" t="str">
        <x:v>Ativa</x:v>
      </x:c>
      <x:c r="I305" s="39" t="str">
        <x:v>Fonte pública; verificar novamente antes de outreach.</x:v>
      </x:c>
    </x:row>
    <x:row r="306" ht="40" customHeight="1">
      <x:c r="A306" s="39" t="str">
        <x:v>SRC00305</x:v>
      </x:c>
      <x:c r="B306" s="39" t="str">
        <x:v>https://octopusventures.com/team/fintech/tosin-agbabiaka/</x:v>
      </x:c>
      <x:c r="C306" s="39" t="str">
        <x:v>octopusventures.com</x:v>
      </x:c>
      <x:c r="D306" s="39" t="str">
        <x:v>Perfil / artigos</x:v>
      </x:c>
      <x:c r="E306" s="39" t="str">
        <x:v>Conteúdo / hook</x:v>
      </x:c>
      <x:c r="F306" s="39" t="str">
        <x:v>HOK0036</x:v>
      </x:c>
      <x:c r="G306" s="44" t="str">
        <x:v>2026-09-09</x:v>
      </x:c>
      <x:c r="H306" s="39" t="str">
        <x:v>Ativa</x:v>
      </x:c>
      <x:c r="I306" s="39" t="str">
        <x:v>Fonte pública; verificar novamente antes de outreach.</x:v>
      </x:c>
    </x:row>
    <x:row r="307" ht="40" customHeight="1">
      <x:c r="A307" s="39" t="str">
        <x:v>SRC00306</x:v>
      </x:c>
      <x:c r="B307" s="39" t="str">
        <x:v>https://octopusventures.com/team/fintech/santiago-fernandez/</x:v>
      </x:c>
      <x:c r="C307" s="39" t="str">
        <x:v>octopusventures.com</x:v>
      </x:c>
      <x:c r="D307" s="39" t="str">
        <x:v>Perfil</x:v>
      </x:c>
      <x:c r="E307" s="39" t="str">
        <x:v>Conteúdo / hook</x:v>
      </x:c>
      <x:c r="F307" s="39" t="str">
        <x:v>HOK0037</x:v>
      </x:c>
      <x:c r="G307" s="44" t="str">
        <x:v>2026-09-09</x:v>
      </x:c>
      <x:c r="H307" s="39" t="str">
        <x:v>Ativa</x:v>
      </x:c>
      <x:c r="I307" s="39" t="str">
        <x:v>Fonte pública; verificar novamente antes de outreach.</x:v>
      </x:c>
    </x:row>
    <x:row r="308" ht="40" customHeight="1">
      <x:c r="A308" s="39" t="str">
        <x:v>SRC00307</x:v>
      </x:c>
      <x:c r="B308" s="39" t="str">
        <x:v>https://octopusventures.com/team/fintech/theo-xydas/</x:v>
      </x:c>
      <x:c r="C308" s="39" t="str">
        <x:v>octopusventures.com</x:v>
      </x:c>
      <x:c r="D308" s="39" t="str">
        <x:v>Perfil</x:v>
      </x:c>
      <x:c r="E308" s="39" t="str">
        <x:v>Conteúdo / hook</x:v>
      </x:c>
      <x:c r="F308" s="39" t="str">
        <x:v>HOK0038</x:v>
      </x:c>
      <x:c r="G308" s="44" t="str">
        <x:v>2026-09-09</x:v>
      </x:c>
      <x:c r="H308" s="39" t="str">
        <x:v>Ativa</x:v>
      </x:c>
      <x:c r="I308" s="39" t="str">
        <x:v>Fonte pública; verificar novamente antes de outreach.</x:v>
      </x:c>
    </x:row>
    <x:row r="309" ht="40" customHeight="1">
      <x:c r="A309" s="39" t="str">
        <x:v>SRC00308</x:v>
      </x:c>
      <x:c r="B309" s="39" t="str">
        <x:v>https://www.notion.vc/resources/new-frontiers-reflections-from-the-notion-capital-founder-retreat-2025</x:v>
      </x:c>
      <x:c r="C309" s="39" t="str">
        <x:v>www.notion.vc</x:v>
      </x:c>
      <x:c r="D309" s="39" t="str">
        <x:v>Artigo / retreat</x:v>
      </x:c>
      <x:c r="E309" s="39" t="str">
        <x:v>Conteúdo / hook</x:v>
      </x:c>
      <x:c r="F309" s="39" t="str">
        <x:v>HOK0039</x:v>
      </x:c>
      <x:c r="G309" s="44" t="str">
        <x:v>2026-09-09</x:v>
      </x:c>
      <x:c r="H309" s="39" t="str">
        <x:v>Ativa</x:v>
      </x:c>
      <x:c r="I309" s="39" t="str">
        <x:v>Fonte pública; verificar novamente antes de outreach.</x:v>
      </x:c>
    </x:row>
    <x:row r="310" ht="40" customHeight="1">
      <x:c r="A310" s="39" t="str">
        <x:v>SRC00309</x:v>
      </x:c>
      <x:c r="B310" s="39" t="str">
        <x:v>https://www.notion.vc/resources/why-we-invested-in-tern</x:v>
      </x:c>
      <x:c r="C310" s="39" t="str">
        <x:v>www.notion.vc</x:v>
      </x:c>
      <x:c r="D310" s="39" t="str">
        <x:v>Artigo</x:v>
      </x:c>
      <x:c r="E310" s="39" t="str">
        <x:v>Conteúdo / hook</x:v>
      </x:c>
      <x:c r="F310" s="39" t="str">
        <x:v>HOK0040</x:v>
      </x:c>
      <x:c r="G310" s="44" t="str">
        <x:v>2026-09-09</x:v>
      </x:c>
      <x:c r="H310" s="39" t="str">
        <x:v>Ativa</x:v>
      </x:c>
      <x:c r="I310" s="39" t="str">
        <x:v>Fonte pública; verificar novamente antes de outreach.</x:v>
      </x:c>
    </x:row>
    <x:row r="311" ht="40" customHeight="1">
      <x:c r="A311" s="39" t="str">
        <x:v>SRC00310</x:v>
      </x:c>
      <x:c r="B311" s="39" t="str">
        <x:v>https://www.notion.vc/resources/why-we-invested-in-upciti</x:v>
      </x:c>
      <x:c r="C311" s="39" t="str">
        <x:v>www.notion.vc</x:v>
      </x:c>
      <x:c r="D311" s="39" t="str">
        <x:v>Artigo</x:v>
      </x:c>
      <x:c r="E311" s="39" t="str">
        <x:v>Conteúdo / hook</x:v>
      </x:c>
      <x:c r="F311" s="39" t="str">
        <x:v>HOK0041</x:v>
      </x:c>
      <x:c r="G311" s="44" t="str">
        <x:v>2026-09-09</x:v>
      </x:c>
      <x:c r="H311" s="39" t="str">
        <x:v>Ativa</x:v>
      </x:c>
      <x:c r="I311" s="39" t="str">
        <x:v>Fonte pública; verificar novamente antes de outreach.</x:v>
      </x:c>
    </x:row>
    <x:row r="312" ht="40" customHeight="1">
      <x:c r="A312" s="39" t="str">
        <x:v>SRC00311</x:v>
      </x:c>
      <x:c r="B312" s="39" t="str">
        <x:v>https://www.notion.vc/resources/why-notion-capital-invested-in-quantum-systems</x:v>
      </x:c>
      <x:c r="C312" s="39" t="str">
        <x:v>www.notion.vc</x:v>
      </x:c>
      <x:c r="D312" s="39" t="str">
        <x:v>Artigo</x:v>
      </x:c>
      <x:c r="E312" s="39" t="str">
        <x:v>Conteúdo / hook</x:v>
      </x:c>
      <x:c r="F312" s="39" t="str">
        <x:v>HOK0042</x:v>
      </x:c>
      <x:c r="G312" s="44" t="str">
        <x:v>2026-09-09</x:v>
      </x:c>
      <x:c r="H312" s="39" t="str">
        <x:v>Ativa</x:v>
      </x:c>
      <x:c r="I312" s="39" t="str">
        <x:v>Fonte pública; verificar novamente antes de outreach.</x:v>
      </x:c>
    </x:row>
    <x:row r="313" ht="40" customHeight="1">
      <x:c r="A313" s="39" t="str">
        <x:v>SRC00312</x:v>
      </x:c>
      <x:c r="B313" s="39" t="str">
        <x:v>https://www.nautacapital.com/team</x:v>
      </x:c>
      <x:c r="C313" s="39" t="str">
        <x:v>www.nautacapital.com</x:v>
      </x:c>
      <x:c r="D313" s="39" t="str">
        <x:v>Perfil</x:v>
      </x:c>
      <x:c r="E313" s="39" t="str">
        <x:v>Conteúdo / hook</x:v>
      </x:c>
      <x:c r="F313" s="39" t="str">
        <x:v>HOK0043</x:v>
      </x:c>
      <x:c r="G313" s="44" t="str">
        <x:v>2026-09-09</x:v>
      </x:c>
      <x:c r="H313" s="39" t="str">
        <x:v>Ativa</x:v>
      </x:c>
      <x:c r="I313" s="39" t="str">
        <x:v>Fonte pública; verificar novamente antes de outreach.</x:v>
      </x:c>
    </x:row>
    <x:row r="314" ht="40" customHeight="1">
      <x:c r="A314" s="39" t="str">
        <x:v>SRC00313</x:v>
      </x:c>
      <x:c r="B314" s="39" t="str">
        <x:v>https://www.nautacapital.com/team</x:v>
      </x:c>
      <x:c r="C314" s="39" t="str">
        <x:v>www.nautacapital.com</x:v>
      </x:c>
      <x:c r="D314" s="39" t="str">
        <x:v>Perfil</x:v>
      </x:c>
      <x:c r="E314" s="39" t="str">
        <x:v>Conteúdo / hook</x:v>
      </x:c>
      <x:c r="F314" s="39" t="str">
        <x:v>HOK0044</x:v>
      </x:c>
      <x:c r="G314" s="44" t="str">
        <x:v>2026-09-09</x:v>
      </x:c>
      <x:c r="H314" s="39" t="str">
        <x:v>Ativa</x:v>
      </x:c>
      <x:c r="I314" s="39" t="str">
        <x:v>Fonte pública; verificar novamente antes de outreach.</x:v>
      </x:c>
    </x:row>
    <x:row r="315" ht="40" customHeight="1">
      <x:c r="A315" s="39" t="str">
        <x:v>SRC00314</x:v>
      </x:c>
      <x:c r="B315" s="39" t="str">
        <x:v>https://www.nautacapital.com/team</x:v>
      </x:c>
      <x:c r="C315" s="39" t="str">
        <x:v>www.nautacapital.com</x:v>
      </x:c>
      <x:c r="D315" s="39" t="str">
        <x:v>Perfil</x:v>
      </x:c>
      <x:c r="E315" s="39" t="str">
        <x:v>Conteúdo / hook</x:v>
      </x:c>
      <x:c r="F315" s="39" t="str">
        <x:v>HOK0045</x:v>
      </x:c>
      <x:c r="G315" s="44" t="str">
        <x:v>2026-09-09</x:v>
      </x:c>
      <x:c r="H315" s="39" t="str">
        <x:v>Ativa</x:v>
      </x:c>
      <x:c r="I315" s="39" t="str">
        <x:v>Fonte pública; verificar novamente antes de outreach.</x:v>
      </x:c>
    </x:row>
    <x:row r="316" ht="40" customHeight="1">
      <x:c r="A316" s="39" t="str">
        <x:v>SRC00315</x:v>
      </x:c>
      <x:c r="B316" s="39" t="str">
        <x:v>https://www.nautacapital.com/team</x:v>
      </x:c>
      <x:c r="C316" s="39" t="str">
        <x:v>www.nautacapital.com</x:v>
      </x:c>
      <x:c r="D316" s="39" t="str">
        <x:v>Perfil</x:v>
      </x:c>
      <x:c r="E316" s="39" t="str">
        <x:v>Conteúdo / hook</x:v>
      </x:c>
      <x:c r="F316" s="39" t="str">
        <x:v>HOK0046</x:v>
      </x:c>
      <x:c r="G316" s="44" t="str">
        <x:v>2026-09-09</x:v>
      </x:c>
      <x:c r="H316" s="39" t="str">
        <x:v>Ativa</x:v>
      </x:c>
      <x:c r="I316" s="39" t="str">
        <x:v>Fonte pública; verificar novamente antes de outreach.</x:v>
      </x:c>
    </x:row>
    <x:row r="317" ht="40" customHeight="1">
      <x:c r="A317" s="39" t="str">
        <x:v>SRC00316</x:v>
      </x:c>
      <x:c r="B317" s="39" t="str">
        <x:v>https://www.nautacapital.com/team</x:v>
      </x:c>
      <x:c r="C317" s="39" t="str">
        <x:v>www.nautacapital.com</x:v>
      </x:c>
      <x:c r="D317" s="39" t="str">
        <x:v>Perfil</x:v>
      </x:c>
      <x:c r="E317" s="39" t="str">
        <x:v>Conteúdo / hook</x:v>
      </x:c>
      <x:c r="F317" s="39" t="str">
        <x:v>HOK0047</x:v>
      </x:c>
      <x:c r="G317" s="44" t="str">
        <x:v>2026-09-09</x:v>
      </x:c>
      <x:c r="H317" s="39" t="str">
        <x:v>Ativa</x:v>
      </x:c>
      <x:c r="I317" s="39" t="str">
        <x:v>Fonte pública; verificar novamente antes de outreach.</x:v>
      </x:c>
    </x:row>
    <x:row r="318" ht="40" customHeight="1">
      <x:c r="A318" s="39" t="str">
        <x:v>SRC00317</x:v>
      </x:c>
      <x:c r="B318" s="39" t="str">
        <x:v>https://www.kfund.vc/team</x:v>
      </x:c>
      <x:c r="C318" s="39" t="str">
        <x:v>www.kfund.vc</x:v>
      </x:c>
      <x:c r="D318" s="39" t="str">
        <x:v>Perfil</x:v>
      </x:c>
      <x:c r="E318" s="39" t="str">
        <x:v>Conteúdo / hook</x:v>
      </x:c>
      <x:c r="F318" s="39" t="str">
        <x:v>HOK0048</x:v>
      </x:c>
      <x:c r="G318" s="44" t="str">
        <x:v>2026-09-09</x:v>
      </x:c>
      <x:c r="H318" s="39" t="str">
        <x:v>Ativa</x:v>
      </x:c>
      <x:c r="I318" s="39" t="str">
        <x:v>Fonte pública; verificar novamente antes de outreach.</x:v>
      </x:c>
    </x:row>
    <x:row r="319" ht="40" customHeight="1">
      <x:c r="A319" s="39" t="str">
        <x:v>SRC00318</x:v>
      </x:c>
      <x:c r="B319" s="39" t="str">
        <x:v>https://www.kfund.vc/team</x:v>
      </x:c>
      <x:c r="C319" s="39" t="str">
        <x:v>www.kfund.vc</x:v>
      </x:c>
      <x:c r="D319" s="39" t="str">
        <x:v>Perfil / podcast</x:v>
      </x:c>
      <x:c r="E319" s="39" t="str">
        <x:v>Conteúdo / hook</x:v>
      </x:c>
      <x:c r="F319" s="39" t="str">
        <x:v>HOK0049</x:v>
      </x:c>
      <x:c r="G319" s="44" t="str">
        <x:v>2026-09-09</x:v>
      </x:c>
      <x:c r="H319" s="39" t="str">
        <x:v>Ativa</x:v>
      </x:c>
      <x:c r="I319" s="39" t="str">
        <x:v>Fonte pública; verificar novamente antes de outreach.</x:v>
      </x:c>
    </x:row>
    <x:row r="320" ht="40" customHeight="1">
      <x:c r="A320" s="39" t="str">
        <x:v>SRC00319</x:v>
      </x:c>
      <x:c r="B320" s="39" t="str">
        <x:v>https://www.kfund.vc/team</x:v>
      </x:c>
      <x:c r="C320" s="39" t="str">
        <x:v>www.kfund.vc</x:v>
      </x:c>
      <x:c r="D320" s="39" t="str">
        <x:v>Perfil</x:v>
      </x:c>
      <x:c r="E320" s="39" t="str">
        <x:v>Conteúdo / hook</x:v>
      </x:c>
      <x:c r="F320" s="39" t="str">
        <x:v>HOK0050</x:v>
      </x:c>
      <x:c r="G320" s="44" t="str">
        <x:v>2026-09-09</x:v>
      </x:c>
      <x:c r="H320" s="39" t="str">
        <x:v>Ativa</x:v>
      </x:c>
      <x:c r="I320" s="39" t="str">
        <x:v>Fonte pública; verificar novamente antes de outreach.</x:v>
      </x:c>
    </x:row>
    <x:row r="321" ht="40" customHeight="1">
      <x:c r="A321" s="39" t="str">
        <x:v>SRC00320</x:v>
      </x:c>
      <x:c r="B321" s="39" t="str">
        <x:v>https://www.kfund.vc/post/podkast-173-la-evolucion-de-k-de-pre-seed-seed-en-espana-a-series-a-en-sur-de-europa-y-latam</x:v>
      </x:c>
      <x:c r="C321" s="39" t="str">
        <x:v>www.kfund.vc</x:v>
      </x:c>
      <x:c r="D321" s="39" t="str">
        <x:v>Artigo / podcast</x:v>
      </x:c>
      <x:c r="E321" s="39" t="str">
        <x:v>Conteúdo / hook</x:v>
      </x:c>
      <x:c r="F321" s="39" t="str">
        <x:v>HOK0051</x:v>
      </x:c>
      <x:c r="G321" s="44" t="str">
        <x:v>2026-09-09</x:v>
      </x:c>
      <x:c r="H321" s="39" t="str">
        <x:v>Ativa</x:v>
      </x:c>
      <x:c r="I321" s="39" t="str">
        <x:v>Fonte pública; verificar novamente antes de outreach.</x:v>
      </x:c>
    </x:row>
    <x:row r="322" ht="40" customHeight="1">
      <x:c r="A322" s="39" t="str">
        <x:v>SRC00321</x:v>
      </x:c>
      <x:c r="B322" s="39" t="str">
        <x:v>https://www.kfund.vc/post/kfund-tech-due-diligence</x:v>
      </x:c>
      <x:c r="C322" s="39" t="str">
        <x:v>www.kfund.vc</x:v>
      </x:c>
      <x:c r="D322" s="39" t="str">
        <x:v>Artigo</x:v>
      </x:c>
      <x:c r="E322" s="39" t="str">
        <x:v>Conteúdo / hook</x:v>
      </x:c>
      <x:c r="F322" s="39" t="str">
        <x:v>HOK0052</x:v>
      </x:c>
      <x:c r="G322" s="44" t="str">
        <x:v>2026-09-09</x:v>
      </x:c>
      <x:c r="H322" s="39" t="str">
        <x:v>Ativa</x:v>
      </x:c>
      <x:c r="I322" s="39" t="str">
        <x:v>Fonte pública; verificar novamente antes de outreach.</x:v>
      </x:c>
    </x:row>
    <x:row r="323" ht="40" customHeight="1">
      <x:c r="A323" s="39" t="str">
        <x:v>SRC00322</x:v>
      </x:c>
      <x:c r="B323" s="39" t="str">
        <x:v>https://www.samaipata.vc/post/the-founders-q-a</x:v>
      </x:c>
      <x:c r="C323" s="39" t="str">
        <x:v>www.samaipata.vc</x:v>
      </x:c>
      <x:c r="D323" s="39" t="str">
        <x:v>Q&amp;A / tese</x:v>
      </x:c>
      <x:c r="E323" s="39" t="str">
        <x:v>Conteúdo / hook</x:v>
      </x:c>
      <x:c r="F323" s="39" t="str">
        <x:v>HOK0053</x:v>
      </x:c>
      <x:c r="G323" s="44" t="str">
        <x:v>2026-09-09</x:v>
      </x:c>
      <x:c r="H323" s="39" t="str">
        <x:v>Ativa</x:v>
      </x:c>
      <x:c r="I323" s="39" t="str">
        <x:v>Fonte pública; verificar novamente antes de outreach.</x:v>
      </x:c>
    </x:row>
    <x:row r="324" ht="40" customHeight="1">
      <x:c r="A324" s="39" t="str">
        <x:v>SRC00323</x:v>
      </x:c>
      <x:c r="B324" s="39" t="str">
        <x:v>https://www.samaipata.vc/samaipata-team</x:v>
      </x:c>
      <x:c r="C324" s="39" t="str">
        <x:v>www.samaipata.vc</x:v>
      </x:c>
      <x:c r="D324" s="39" t="str">
        <x:v>Perfil</x:v>
      </x:c>
      <x:c r="E324" s="39" t="str">
        <x:v>Conteúdo / hook</x:v>
      </x:c>
      <x:c r="F324" s="39" t="str">
        <x:v>HOK0054</x:v>
      </x:c>
      <x:c r="G324" s="44" t="str">
        <x:v>2026-09-09</x:v>
      </x:c>
      <x:c r="H324" s="39" t="str">
        <x:v>Ativa</x:v>
      </x:c>
      <x:c r="I324" s="39" t="str">
        <x:v>Fonte pública; verificar novamente antes de outreach.</x:v>
      </x:c>
    </x:row>
    <x:row r="325" ht="40" customHeight="1">
      <x:c r="A325" s="39" t="str">
        <x:v>SRC00324</x:v>
      </x:c>
      <x:c r="B325" s="39" t="str">
        <x:v>https://www.portugalventures.pt/en/member/miguel-barbosa/</x:v>
      </x:c>
      <x:c r="C325" s="39" t="str">
        <x:v>www.portugalventures.pt</x:v>
      </x:c>
      <x:c r="D325" s="39" t="str">
        <x:v>Perfil</x:v>
      </x:c>
      <x:c r="E325" s="39" t="str">
        <x:v>Conteúdo / hook</x:v>
      </x:c>
      <x:c r="F325" s="39" t="str">
        <x:v>HOK0055</x:v>
      </x:c>
      <x:c r="G325" s="44" t="str">
        <x:v>2026-09-09</x:v>
      </x:c>
      <x:c r="H325" s="39" t="str">
        <x:v>Ativa</x:v>
      </x:c>
      <x:c r="I325" s="39" t="str">
        <x:v>Fonte pública; verificar novamente antes de outreach.</x:v>
      </x:c>
    </x:row>
    <x:row r="326" ht="40" customHeight="1">
      <x:c r="A326" s="39" t="str">
        <x:v>SRC00325</x:v>
      </x:c>
      <x:c r="B326" s="39" t="str">
        <x:v>https://www.indicocapital.com/about-us</x:v>
      </x:c>
      <x:c r="C326" s="39" t="str">
        <x:v>www.indicocapital.com</x:v>
      </x:c>
      <x:c r="D326" s="39" t="str">
        <x:v>Perfil</x:v>
      </x:c>
      <x:c r="E326" s="39" t="str">
        <x:v>Conteúdo / hook</x:v>
      </x:c>
      <x:c r="F326" s="39" t="str">
        <x:v>HOK0056</x:v>
      </x:c>
      <x:c r="G326" s="44" t="str">
        <x:v>2026-09-09</x:v>
      </x:c>
      <x:c r="H326" s="39" t="str">
        <x:v>Ativa</x:v>
      </x:c>
      <x:c r="I326" s="39" t="str">
        <x:v>Fonte pública; verificar novamente antes de outreach.</x:v>
      </x:c>
    </x:row>
    <x:row r="327" ht="40" customHeight="1">
      <x:c r="A327" s="39" t="str">
        <x:v>SRC00326</x:v>
      </x:c>
      <x:c r="B327" s="39" t="str">
        <x:v>https://www.indicocapital.com/about-us</x:v>
      </x:c>
      <x:c r="C327" s="39" t="str">
        <x:v>www.indicocapital.com</x:v>
      </x:c>
      <x:c r="D327" s="39" t="str">
        <x:v>Perfil / entrevista</x:v>
      </x:c>
      <x:c r="E327" s="39" t="str">
        <x:v>Conteúdo / hook</x:v>
      </x:c>
      <x:c r="F327" s="39" t="str">
        <x:v>HOK0057</x:v>
      </x:c>
      <x:c r="G327" s="44" t="str">
        <x:v>2026-09-09</x:v>
      </x:c>
      <x:c r="H327" s="39" t="str">
        <x:v>Ativa</x:v>
      </x:c>
      <x:c r="I327" s="39" t="str">
        <x:v>Fonte pública; verificar novamente antes de outreach.</x:v>
      </x:c>
    </x:row>
    <x:row r="328" ht="40" customHeight="1">
      <x:c r="A328" s="39" t="str">
        <x:v>SRC00327</x:v>
      </x:c>
      <x:c r="B328" s="39" t="str">
        <x:v>https://www.armilar.com/articles/armilar-announces-first-closing-of-fund-iv-with-eu120m-to-invest-in-disruptive-technologies-across-iberia-and-europe</x:v>
      </x:c>
      <x:c r="C328" s="39" t="str">
        <x:v>www.armilar.com</x:v>
      </x:c>
      <x:c r="D328" s="39" t="str">
        <x:v>Artigo</x:v>
      </x:c>
      <x:c r="E328" s="39" t="str">
        <x:v>Conteúdo / hook</x:v>
      </x:c>
      <x:c r="F328" s="39" t="str">
        <x:v>HOK0058</x:v>
      </x:c>
      <x:c r="G328" s="44" t="str">
        <x:v>2026-09-09</x:v>
      </x:c>
      <x:c r="H328" s="39" t="str">
        <x:v>Ativa</x:v>
      </x:c>
      <x:c r="I328" s="39" t="str">
        <x:v>Fonte pública; verificar novamente antes de outreach.</x:v>
      </x:c>
    </x:row>
    <x:row r="329" ht="40" customHeight="1">
      <x:c r="A329" s="39" t="str">
        <x:v>SRC00328</x:v>
      </x:c>
      <x:c r="B329" s="39" t="str">
        <x:v>https://www.armilar.com/articles/armilar-announces-first-closing-of-fund-iv-with-eu120m-to-invest-in-disruptive-technologies-across-iberia-and-europe</x:v>
      </x:c>
      <x:c r="C329" s="39" t="str">
        <x:v>www.armilar.com</x:v>
      </x:c>
      <x:c r="D329" s="39" t="str">
        <x:v>Artigo</x:v>
      </x:c>
      <x:c r="E329" s="39" t="str">
        <x:v>Conteúdo / hook</x:v>
      </x:c>
      <x:c r="F329" s="39" t="str">
        <x:v>HOK0059</x:v>
      </x:c>
      <x:c r="G329" s="44" t="str">
        <x:v>2026-09-09</x:v>
      </x:c>
      <x:c r="H329" s="39" t="str">
        <x:v>Ativa</x:v>
      </x:c>
      <x:c r="I329" s="39" t="str">
        <x:v>Fonte pública; verificar novamente antes de outreach.</x:v>
      </x:c>
    </x:row>
    <x:row r="330" ht="40" customHeight="1">
      <x:c r="A330" s="39" t="str">
        <x:v>SRC00329</x:v>
      </x:c>
      <x:c r="B330" s="39" t="str">
        <x:v>https://www.connectventures.co/opinions/investment-decisions-at-connect</x:v>
      </x:c>
      <x:c r="C330" s="39" t="str">
        <x:v>www.connectventures.co</x:v>
      </x:c>
      <x:c r="D330" s="39" t="str">
        <x:v>Artigo</x:v>
      </x:c>
      <x:c r="E330" s="39" t="str">
        <x:v>Conteúdo / hook</x:v>
      </x:c>
      <x:c r="F330" s="39" t="str">
        <x:v>HOK0060</x:v>
      </x:c>
      <x:c r="G330" s="44" t="str">
        <x:v>2026-09-09</x:v>
      </x:c>
      <x:c r="H330" s="39" t="str">
        <x:v>Ativa</x:v>
      </x:c>
      <x:c r="I330" s="39" t="str">
        <x:v>Fonte pública; verificar novamente antes de outreach.</x:v>
      </x:c>
    </x:row>
    <x:row r="331" ht="40" customHeight="1">
      <x:c r="A331" s="39" t="str">
        <x:v>SRC00330</x:v>
      </x:c>
      <x:c r="B331" s="39" t="str">
        <x:v>https://www.connectventures.co/opinions/the-connect-ventures-thesis-part-2</x:v>
      </x:c>
      <x:c r="C331" s="39" t="str">
        <x:v>www.connectventures.co</x:v>
      </x:c>
      <x:c r="D331" s="39" t="str">
        <x:v>Artigo / tese</x:v>
      </x:c>
      <x:c r="E331" s="39" t="str">
        <x:v>Conteúdo / hook</x:v>
      </x:c>
      <x:c r="F331" s="39" t="str">
        <x:v>HOK0061</x:v>
      </x:c>
      <x:c r="G331" s="44" t="str">
        <x:v>2026-09-09</x:v>
      </x:c>
      <x:c r="H331" s="39" t="str">
        <x:v>Ativa</x:v>
      </x:c>
      <x:c r="I331" s="39" t="str">
        <x:v>Fonte pública; verificar novamente antes de outreach.</x:v>
      </x:c>
    </x:row>
    <x:row r="332" ht="40" customHeight="1">
      <x:c r="A332" s="39" t="str">
        <x:v>SRC00331</x:v>
      </x:c>
      <x:c r="B332" s="39" t="str">
        <x:v>https://www.connectventures.co/opinions/investing-in-nexcade</x:v>
      </x:c>
      <x:c r="C332" s="39" t="str">
        <x:v>www.connectventures.co</x:v>
      </x:c>
      <x:c r="D332" s="39" t="str">
        <x:v>Artigo</x:v>
      </x:c>
      <x:c r="E332" s="39" t="str">
        <x:v>Conteúdo / hook</x:v>
      </x:c>
      <x:c r="F332" s="39" t="str">
        <x:v>HOK0062</x:v>
      </x:c>
      <x:c r="G332" s="44" t="str">
        <x:v>2026-09-09</x:v>
      </x:c>
      <x:c r="H332" s="39" t="str">
        <x:v>Ativa</x:v>
      </x:c>
      <x:c r="I332" s="39" t="str">
        <x:v>Fonte pública; verificar novamente antes de outreach.</x:v>
      </x:c>
    </x:row>
    <x:row r="333" ht="40" customHeight="1">
      <x:c r="A333" s="39" t="str">
        <x:v>SRC00332</x:v>
      </x:c>
      <x:c r="B333" s="39" t="str">
        <x:v>https://www.connectventures.co/opinions/investing-in-ewake-engineers-best-friend-for-software-reliability</x:v>
      </x:c>
      <x:c r="C333" s="39" t="str">
        <x:v>www.connectventures.co</x:v>
      </x:c>
      <x:c r="D333" s="39" t="str">
        <x:v>Artigo</x:v>
      </x:c>
      <x:c r="E333" s="39" t="str">
        <x:v>Conteúdo / hook</x:v>
      </x:c>
      <x:c r="F333" s="39" t="str">
        <x:v>HOK0063</x:v>
      </x:c>
      <x:c r="G333" s="44" t="str">
        <x:v>2026-09-09</x:v>
      </x:c>
      <x:c r="H333" s="39" t="str">
        <x:v>Ativa</x:v>
      </x:c>
      <x:c r="I333" s="39" t="str">
        <x:v>Fonte pública; verificar novamente antes de outreach.</x:v>
      </x:c>
    </x:row>
    <x:row r="334" ht="40" customHeight="1">
      <x:c r="A334" s="39" t="str">
        <x:v>SRC00333</x:v>
      </x:c>
      <x:c r="B334" s="39" t="str">
        <x:v>https://partechpartners.com/team/romain-lavault</x:v>
      </x:c>
      <x:c r="C334" s="39" t="str">
        <x:v>partechpartners.com</x:v>
      </x:c>
      <x:c r="D334" s="39" t="str">
        <x:v>Perfil</x:v>
      </x:c>
      <x:c r="E334" s="39" t="str">
        <x:v>Conteúdo / hook</x:v>
      </x:c>
      <x:c r="F334" s="39" t="str">
        <x:v>HOK0064</x:v>
      </x:c>
      <x:c r="G334" s="44" t="str">
        <x:v>2026-09-09</x:v>
      </x:c>
      <x:c r="H334" s="39" t="str">
        <x:v>Ativa</x:v>
      </x:c>
      <x:c r="I334" s="39" t="str">
        <x:v>Fonte pública; verificar novamente antes de outreach.</x:v>
      </x:c>
    </x:row>
    <x:row r="335" ht="40" customHeight="1">
      <x:c r="A335" s="39" t="str">
        <x:v>SRC00334</x:v>
      </x:c>
      <x:c r="B335" s="39" t="str">
        <x:v>https://partechpartners.com/team/boris-golden</x:v>
      </x:c>
      <x:c r="C335" s="39" t="str">
        <x:v>partechpartners.com</x:v>
      </x:c>
      <x:c r="D335" s="39" t="str">
        <x:v>Perfil</x:v>
      </x:c>
      <x:c r="E335" s="39" t="str">
        <x:v>Conteúdo / hook</x:v>
      </x:c>
      <x:c r="F335" s="39" t="str">
        <x:v>HOK0065</x:v>
      </x:c>
      <x:c r="G335" s="44" t="str">
        <x:v>2026-09-09</x:v>
      </x:c>
      <x:c r="H335" s="39" t="str">
        <x:v>Ativa</x:v>
      </x:c>
      <x:c r="I335" s="39" t="str">
        <x:v>Fonte pública; verificar novamente antes de outreach.</x:v>
      </x:c>
    </x:row>
    <x:row r="336" ht="40" customHeight="1">
      <x:c r="A336" s="39" t="str">
        <x:v>SRC00335</x:v>
      </x:c>
      <x:c r="B336" s="39" t="str">
        <x:v>https://partechpartners.com/team/reza-malekzadeh</x:v>
      </x:c>
      <x:c r="C336" s="39" t="str">
        <x:v>partechpartners.com</x:v>
      </x:c>
      <x:c r="D336" s="39" t="str">
        <x:v>Perfil</x:v>
      </x:c>
      <x:c r="E336" s="39" t="str">
        <x:v>Conteúdo / hook</x:v>
      </x:c>
      <x:c r="F336" s="39" t="str">
        <x:v>HOK0066</x:v>
      </x:c>
      <x:c r="G336" s="44" t="str">
        <x:v>2026-09-09</x:v>
      </x:c>
      <x:c r="H336" s="39" t="str">
        <x:v>Ativa</x:v>
      </x:c>
      <x:c r="I336" s="39" t="str">
        <x:v>Fonte pública; verificar novamente antes de outreach.</x:v>
      </x:c>
    </x:row>
    <x:row r="337" ht="40" customHeight="1">
      <x:c r="A337" s="39" t="str">
        <x:v>SRC00336</x:v>
      </x:c>
      <x:c r="B337" s="39" t="str">
        <x:v>https://partechpartners.com/news/partech-announces-promotions-across-investment-teams</x:v>
      </x:c>
      <x:c r="C337" s="39" t="str">
        <x:v>partechpartners.com</x:v>
      </x:c>
      <x:c r="D337" s="39" t="str">
        <x:v>Promoção / perfil</x:v>
      </x:c>
      <x:c r="E337" s="39" t="str">
        <x:v>Conteúdo / hook</x:v>
      </x:c>
      <x:c r="F337" s="39" t="str">
        <x:v>HOK0067</x:v>
      </x:c>
      <x:c r="G337" s="44" t="str">
        <x:v>2026-09-09</x:v>
      </x:c>
      <x:c r="H337" s="39" t="str">
        <x:v>Ativa</x:v>
      </x:c>
      <x:c r="I337" s="39" t="str">
        <x:v>Fonte pública; verificar novamente antes de outreach.</x:v>
      </x:c>
    </x:row>
    <x:row r="338" ht="40" customHeight="1">
      <x:c r="A338" s="39" t="str">
        <x:v>SRC00337</x:v>
      </x:c>
      <x:c r="B338" s="39" t="str">
        <x:v>https://www.speedinvest.com/team-members/marie-helene-ametsreiter</x:v>
      </x:c>
      <x:c r="C338" s="39" t="str">
        <x:v>www.speedinvest.com</x:v>
      </x:c>
      <x:c r="D338" s="39" t="str">
        <x:v>Sinal pessoal público</x:v>
      </x:c>
      <x:c r="E338" s="39" t="str">
        <x:v>Sinal pessoal</x:v>
      </x:c>
      <x:c r="F338" s="39" t="str">
        <x:v>SIG0001</x:v>
      </x:c>
      <x:c r="G338" s="44" t="str">
        <x:v>2026-09-09</x:v>
      </x:c>
      <x:c r="H338" s="39" t="str">
        <x:v>Ativa</x:v>
      </x:c>
      <x:c r="I338" s="39" t="str">
        <x:v>Fonte pública; verificar novamente antes de outreach.</x:v>
      </x:c>
    </x:row>
    <x:row r="339" ht="40" customHeight="1">
      <x:c r="A339" s="39" t="str">
        <x:v>SRC00338</x:v>
      </x:c>
      <x:c r="B339" s="39" t="str">
        <x:v>https://creandum.com/team/staffan-helgesson/</x:v>
      </x:c>
      <x:c r="C339" s="39" t="str">
        <x:v>creandum.com</x:v>
      </x:c>
      <x:c r="D339" s="39" t="str">
        <x:v>Sinal pessoal público</x:v>
      </x:c>
      <x:c r="E339" s="39" t="str">
        <x:v>Sinal pessoal</x:v>
      </x:c>
      <x:c r="F339" s="39" t="str">
        <x:v>SIG0002</x:v>
      </x:c>
      <x:c r="G339" s="44" t="str">
        <x:v>2026-09-09</x:v>
      </x:c>
      <x:c r="H339" s="39" t="str">
        <x:v>Ativa</x:v>
      </x:c>
      <x:c r="I339" s="39" t="str">
        <x:v>Fonte pública; verificar novamente antes de outreach.</x:v>
      </x:c>
    </x:row>
    <x:row r="340" ht="40" customHeight="1">
      <x:c r="A340" s="39" t="str">
        <x:v>SRC00339</x:v>
      </x:c>
      <x:c r="B340" s="39" t="str">
        <x:v>https://creandum.com/team/carl-fritjofsson/</x:v>
      </x:c>
      <x:c r="C340" s="39" t="str">
        <x:v>creandum.com</x:v>
      </x:c>
      <x:c r="D340" s="39" t="str">
        <x:v>Sinal pessoal público</x:v>
      </x:c>
      <x:c r="E340" s="39" t="str">
        <x:v>Sinal pessoal</x:v>
      </x:c>
      <x:c r="F340" s="39" t="str">
        <x:v>SIG0003</x:v>
      </x:c>
      <x:c r="G340" s="44" t="str">
        <x:v>2026-09-09</x:v>
      </x:c>
      <x:c r="H340" s="39" t="str">
        <x:v>Ativa</x:v>
      </x:c>
      <x:c r="I340" s="39" t="str">
        <x:v>Fonte pública; verificar novamente antes de outreach.</x:v>
      </x:c>
    </x:row>
    <x:row r="341" ht="40" customHeight="1">
      <x:c r="A341" s="39" t="str">
        <x:v>SRC00340</x:v>
      </x:c>
      <x:c r="B341" s="39" t="str">
        <x:v>https://creandum.com/team/richard-keuntje/</x:v>
      </x:c>
      <x:c r="C341" s="39" t="str">
        <x:v>creandum.com</x:v>
      </x:c>
      <x:c r="D341" s="39" t="str">
        <x:v>Sinal pessoal público</x:v>
      </x:c>
      <x:c r="E341" s="39" t="str">
        <x:v>Sinal pessoal</x:v>
      </x:c>
      <x:c r="F341" s="39" t="str">
        <x:v>SIG0004</x:v>
      </x:c>
      <x:c r="G341" s="44" t="str">
        <x:v>2026-09-09</x:v>
      </x:c>
      <x:c r="H341" s="39" t="str">
        <x:v>Ativa</x:v>
      </x:c>
      <x:c r="I341" s="39" t="str">
        <x:v>Fonte pública; verificar novamente antes de outreach.</x:v>
      </x:c>
    </x:row>
    <x:row r="342" ht="40" customHeight="1">
      <x:c r="A342" s="39" t="str">
        <x:v>SRC00341</x:v>
      </x:c>
      <x:c r="B342" s="39" t="str">
        <x:v>https://creandum.com/team/maria-raga/</x:v>
      </x:c>
      <x:c r="C342" s="39" t="str">
        <x:v>creandum.com</x:v>
      </x:c>
      <x:c r="D342" s="39" t="str">
        <x:v>Sinal pessoal público</x:v>
      </x:c>
      <x:c r="E342" s="39" t="str">
        <x:v>Sinal pessoal</x:v>
      </x:c>
      <x:c r="F342" s="39" t="str">
        <x:v>SIG0005</x:v>
      </x:c>
      <x:c r="G342" s="44" t="str">
        <x:v>2026-09-09</x:v>
      </x:c>
      <x:c r="H342" s="39" t="str">
        <x:v>Ativa</x:v>
      </x:c>
      <x:c r="I342" s="39" t="str">
        <x:v>Fonte pública; verificar novamente antes de outreach.</x:v>
      </x:c>
    </x:row>
    <x:row r="343" ht="40" customHeight="1">
      <x:c r="A343" s="39" t="str">
        <x:v>SRC00342</x:v>
      </x:c>
      <x:c r="B343" s="39" t="str">
        <x:v>https://northzone.com/team/sanjot-malhi</x:v>
      </x:c>
      <x:c r="C343" s="39" t="str">
        <x:v>northzone.com</x:v>
      </x:c>
      <x:c r="D343" s="39" t="str">
        <x:v>Sinal pessoal público</x:v>
      </x:c>
      <x:c r="E343" s="39" t="str">
        <x:v>Sinal pessoal</x:v>
      </x:c>
      <x:c r="F343" s="39" t="str">
        <x:v>SIG0006</x:v>
      </x:c>
      <x:c r="G343" s="44" t="str">
        <x:v>2026-09-09</x:v>
      </x:c>
      <x:c r="H343" s="39" t="str">
        <x:v>Ativa</x:v>
      </x:c>
      <x:c r="I343" s="39" t="str">
        <x:v>Fonte pública; verificar novamente antes de outreach.</x:v>
      </x:c>
    </x:row>
    <x:row r="344" ht="40" customHeight="1">
      <x:c r="A344" s="39" t="str">
        <x:v>SRC00343</x:v>
      </x:c>
      <x:c r="B344" s="39" t="str">
        <x:v>https://www.project-a.com/team/ben-fischer/</x:v>
      </x:c>
      <x:c r="C344" s="39" t="str">
        <x:v>www.project-a.com</x:v>
      </x:c>
      <x:c r="D344" s="39" t="str">
        <x:v>Sinal pessoal público</x:v>
      </x:c>
      <x:c r="E344" s="39" t="str">
        <x:v>Sinal pessoal</x:v>
      </x:c>
      <x:c r="F344" s="39" t="str">
        <x:v>SIG0007</x:v>
      </x:c>
      <x:c r="G344" s="44" t="str">
        <x:v>2026-09-09</x:v>
      </x:c>
      <x:c r="H344" s="39" t="str">
        <x:v>Ativa</x:v>
      </x:c>
      <x:c r="I344" s="39" t="str">
        <x:v>Fonte pública; verificar novamente antes de outreach.</x:v>
      </x:c>
    </x:row>
    <x:row r="345" ht="40" customHeight="1">
      <x:c r="A345" s="39" t="str">
        <x:v>SRC00344</x:v>
      </x:c>
      <x:c r="B345" s="39" t="str">
        <x:v>https://www.project-a.com/team/uwe-horstmann/</x:v>
      </x:c>
      <x:c r="C345" s="39" t="str">
        <x:v>www.project-a.com</x:v>
      </x:c>
      <x:c r="D345" s="39" t="str">
        <x:v>Sinal pessoal público</x:v>
      </x:c>
      <x:c r="E345" s="39" t="str">
        <x:v>Sinal pessoal</x:v>
      </x:c>
      <x:c r="F345" s="39" t="str">
        <x:v>SIG0008</x:v>
      </x:c>
      <x:c r="G345" s="44" t="str">
        <x:v>2026-09-09</x:v>
      </x:c>
      <x:c r="H345" s="39" t="str">
        <x:v>Ativa</x:v>
      </x:c>
      <x:c r="I345" s="39" t="str">
        <x:v>Fonte pública; verificar novamente antes de outreach.</x:v>
      </x:c>
    </x:row>
    <x:row r="346" ht="40" customHeight="1">
      <x:c r="A346" s="39" t="str">
        <x:v>SRC00345</x:v>
      </x:c>
      <x:c r="B346" s="39" t="str">
        <x:v>https://www.dawncapital.com/team/josh-bell</x:v>
      </x:c>
      <x:c r="C346" s="39" t="str">
        <x:v>www.dawncapital.com</x:v>
      </x:c>
      <x:c r="D346" s="39" t="str">
        <x:v>Sinal pessoal público</x:v>
      </x:c>
      <x:c r="E346" s="39" t="str">
        <x:v>Sinal pessoal</x:v>
      </x:c>
      <x:c r="F346" s="39" t="str">
        <x:v>SIG0009</x:v>
      </x:c>
      <x:c r="G346" s="44" t="str">
        <x:v>2026-09-09</x:v>
      </x:c>
      <x:c r="H346" s="39" t="str">
        <x:v>Ativa</x:v>
      </x:c>
      <x:c r="I346" s="39" t="str">
        <x:v>Fonte pública; verificar novamente antes de outreach.</x:v>
      </x:c>
    </x:row>
    <x:row r="347" ht="40" customHeight="1">
      <x:c r="A347" s="39" t="str">
        <x:v>SRC00346</x:v>
      </x:c>
      <x:c r="B347" s="39" t="str">
        <x:v>https://www.dawncapital.com/team/norman-fiore</x:v>
      </x:c>
      <x:c r="C347" s="39" t="str">
        <x:v>www.dawncapital.com</x:v>
      </x:c>
      <x:c r="D347" s="39" t="str">
        <x:v>Sinal pessoal público</x:v>
      </x:c>
      <x:c r="E347" s="39" t="str">
        <x:v>Sinal pessoal</x:v>
      </x:c>
      <x:c r="F347" s="39" t="str">
        <x:v>SIG0010</x:v>
      </x:c>
      <x:c r="G347" s="44" t="str">
        <x:v>2026-09-09</x:v>
      </x:c>
      <x:c r="H347" s="39" t="str">
        <x:v>Ativa</x:v>
      </x:c>
      <x:c r="I347" s="39" t="str">
        <x:v>Fonte pública; verificar novamente antes de outreach.</x:v>
      </x:c>
    </x:row>
    <x:row r="348" ht="40" customHeight="1">
      <x:c r="A348" s="39" t="str">
        <x:v>SRC00347</x:v>
      </x:c>
      <x:c r="B348" s="39" t="str">
        <x:v>https://www.dawncapital.com/team/shamillah-bankiya</x:v>
      </x:c>
      <x:c r="C348" s="39" t="str">
        <x:v>www.dawncapital.com</x:v>
      </x:c>
      <x:c r="D348" s="39" t="str">
        <x:v>Sinal pessoal público</x:v>
      </x:c>
      <x:c r="E348" s="39" t="str">
        <x:v>Sinal pessoal</x:v>
      </x:c>
      <x:c r="F348" s="39" t="str">
        <x:v>SIG0011</x:v>
      </x:c>
      <x:c r="G348" s="44" t="str">
        <x:v>2026-09-09</x:v>
      </x:c>
      <x:c r="H348" s="39" t="str">
        <x:v>Ativa</x:v>
      </x:c>
      <x:c r="I348" s="39" t="str">
        <x:v>Fonte pública; verificar novamente antes de outreach.</x:v>
      </x:c>
    </x:row>
    <x:row r="349" ht="40" customHeight="1">
      <x:c r="A349" s="39" t="str">
        <x:v>SRC00348</x:v>
      </x:c>
      <x:c r="B349" s="39" t="str">
        <x:v>https://www.dawncapital.com/team/dan-chaplin</x:v>
      </x:c>
      <x:c r="C349" s="39" t="str">
        <x:v>www.dawncapital.com</x:v>
      </x:c>
      <x:c r="D349" s="39" t="str">
        <x:v>Sinal pessoal público</x:v>
      </x:c>
      <x:c r="E349" s="39" t="str">
        <x:v>Sinal pessoal</x:v>
      </x:c>
      <x:c r="F349" s="39" t="str">
        <x:v>SIG0012</x:v>
      </x:c>
      <x:c r="G349" s="44" t="str">
        <x:v>2026-09-09</x:v>
      </x:c>
      <x:c r="H349" s="39" t="str">
        <x:v>Ativa</x:v>
      </x:c>
      <x:c r="I349" s="39" t="str">
        <x:v>Fonte pública; verificar novamente antes de outreach.</x:v>
      </x:c>
    </x:row>
    <x:row r="350" ht="40" customHeight="1">
      <x:c r="A350" s="39" t="str">
        <x:v>SRC00349</x:v>
      </x:c>
      <x:c r="B350" s="39" t="str">
        <x:v>https://octopusventures.com/team/fintech/santiago-fernandez/</x:v>
      </x:c>
      <x:c r="C350" s="39" t="str">
        <x:v>octopusventures.com</x:v>
      </x:c>
      <x:c r="D350" s="39" t="str">
        <x:v>Sinal pessoal público</x:v>
      </x:c>
      <x:c r="E350" s="39" t="str">
        <x:v>Sinal pessoal</x:v>
      </x:c>
      <x:c r="F350" s="39" t="str">
        <x:v>SIG0013</x:v>
      </x:c>
      <x:c r="G350" s="44" t="str">
        <x:v>2026-09-09</x:v>
      </x:c>
      <x:c r="H350" s="39" t="str">
        <x:v>Ativa</x:v>
      </x:c>
      <x:c r="I350" s="39" t="str">
        <x:v>Fonte pública; verificar novamente antes de outreach.</x:v>
      </x:c>
    </x:row>
    <x:row r="351" ht="40" customHeight="1">
      <x:c r="A351" s="39" t="str">
        <x:v>SRC00350</x:v>
      </x:c>
      <x:c r="B351" s="39" t="str">
        <x:v>https://partechpartners.com/team/boris-golden</x:v>
      </x:c>
      <x:c r="C351" s="39" t="str">
        <x:v>partechpartners.com</x:v>
      </x:c>
      <x:c r="D351" s="39" t="str">
        <x:v>Sinal pessoal público</x:v>
      </x:c>
      <x:c r="E351" s="39" t="str">
        <x:v>Sinal pessoal</x:v>
      </x:c>
      <x:c r="F351" s="39" t="str">
        <x:v>SIG0014</x:v>
      </x:c>
      <x:c r="G351" s="44" t="str">
        <x:v>2026-09-09</x:v>
      </x:c>
      <x:c r="H351" s="39" t="str">
        <x:v>Ativa</x:v>
      </x:c>
      <x:c r="I351" s="39" t="str">
        <x:v>Fonte pública; verificar novamente antes de outreach.</x:v>
      </x:c>
    </x:row>
    <x:row r="352" ht="40" customHeight="1">
      <x:c r="A352" s="39" t="str">
        <x:v>SRC00351</x:v>
      </x:c>
      <x:c r="B352" s="39" t="str">
        <x:v>https://partechpartners.com/team/romain-lavault</x:v>
      </x:c>
      <x:c r="C352" s="39" t="str">
        <x:v>partechpartners.com</x:v>
      </x:c>
      <x:c r="D352" s="39" t="str">
        <x:v>Sinal pessoal público</x:v>
      </x:c>
      <x:c r="E352" s="39" t="str">
        <x:v>Sinal pessoal</x:v>
      </x:c>
      <x:c r="F352" s="39" t="str">
        <x:v>SIG0015</x:v>
      </x:c>
      <x:c r="G352" s="44" t="str">
        <x:v>2026-09-09</x:v>
      </x:c>
      <x:c r="H352" s="39" t="str">
        <x:v>Ativa</x:v>
      </x:c>
      <x:c r="I352" s="39" t="str">
        <x:v>Fonte pública; verificar novamente antes de outreach.</x:v>
      </x:c>
    </x:row>
    <x:row r="353" ht="40" customHeight="1">
      <x:c r="A353" s="39" t="str">
        <x:v>SRC00352</x:v>
      </x:c>
      <x:c r="B353" s="39" t="str">
        <x:v>https://www.vlaio.be/en/node/7362</x:v>
      </x:c>
      <x:c r="C353" s="39" t="str">
        <x:v>www.vlaio.be</x:v>
      </x:c>
      <x:c r="D353" s="39" t="str">
        <x:v>Tese / critérios</x:v>
      </x:c>
      <x:c r="E353" s="39" t="str">
        <x:v>Investidor</x:v>
      </x:c>
      <x:c r="F353" s="39" t="str">
        <x:v>INV028</x:v>
      </x:c>
      <x:c r="G353" s="44" t="str">
        <x:v>2026-09-09</x:v>
      </x:c>
      <x:c r="H353" s="39" t="str">
        <x:v>Ativa</x:v>
      </x:c>
      <x:c r="I353" s="39" t="str">
        <x:v>Fonte pública; verificar novamente antes de outreach.</x:v>
      </x:c>
    </x:row>
    <x:row r="354" ht="40" customHeight="1">
      <x:c r="A354" s="39" t="str">
        <x:v>SRC00353</x:v>
      </x:c>
      <x:c r="B354" s="39" t="str">
        <x:v>https://korys.be/our-team/</x:v>
      </x:c>
      <x:c r="C354" s="39" t="str">
        <x:v>korys.be</x:v>
      </x:c>
      <x:c r="D354" s="39" t="str">
        <x:v>Equipa</x:v>
      </x:c>
      <x:c r="E354" s="39" t="str">
        <x:v>Investidor</x:v>
      </x:c>
      <x:c r="F354" s="39" t="str">
        <x:v>INV028</x:v>
      </x:c>
      <x:c r="G354" s="44" t="str">
        <x:v>2026-09-09</x:v>
      </x:c>
      <x:c r="H354" s="39" t="str">
        <x:v>Ativa</x:v>
      </x:c>
      <x:c r="I354" s="39" t="str">
        <x:v>Fonte pública; verificar novamente antes de outreach.</x:v>
      </x:c>
    </x:row>
    <x:row r="355" ht="40" customHeight="1">
      <x:c r="A355" s="39" t="str">
        <x:v>SRC00354</x:v>
      </x:c>
      <x:c r="B355" s="39" t="str">
        <x:v>https://www.h14.it/</x:v>
      </x:c>
      <x:c r="C355" s="39" t="str">
        <x:v>www.h14.it</x:v>
      </x:c>
      <x:c r="D355" s="39" t="str">
        <x:v>Tese / critérios</x:v>
      </x:c>
      <x:c r="E355" s="39" t="str">
        <x:v>Investidor</x:v>
      </x:c>
      <x:c r="F355" s="39" t="str">
        <x:v>INV029</x:v>
      </x:c>
      <x:c r="G355" s="44" t="str">
        <x:v>2026-09-09</x:v>
      </x:c>
      <x:c r="H355" s="39" t="str">
        <x:v>Ativa</x:v>
      </x:c>
      <x:c r="I355" s="39" t="str">
        <x:v>Fonte pública; verificar novamente antes de outreach.</x:v>
      </x:c>
    </x:row>
    <x:row r="356" ht="40" customHeight="1">
      <x:c r="A356" s="39" t="str">
        <x:v>SRC00355</x:v>
      </x:c>
      <x:c r="B356" s="39" t="str">
        <x:v>https://it.linkedin.com/in/riccardo-porcelli-658b6874</x:v>
      </x:c>
      <x:c r="C356" s="39" t="str">
        <x:v>it.linkedin.com</x:v>
      </x:c>
      <x:c r="D356" s="39" t="str">
        <x:v>Equipa</x:v>
      </x:c>
      <x:c r="E356" s="39" t="str">
        <x:v>Investidor</x:v>
      </x:c>
      <x:c r="F356" s="39" t="str">
        <x:v>INV029</x:v>
      </x:c>
      <x:c r="G356" s="44" t="str">
        <x:v>2026-09-09</x:v>
      </x:c>
      <x:c r="H356" s="39" t="str">
        <x:v>Ativa</x:v>
      </x:c>
      <x:c r="I356" s="39" t="str">
        <x:v>Fonte pública; verificar novamente antes de outreach.</x:v>
      </x:c>
    </x:row>
    <x:row r="357" ht="40" customHeight="1">
      <x:c r="A357" s="39" t="str">
        <x:v>SRC00356</x:v>
      </x:c>
      <x:c r="B357" s="39" t="str">
        <x:v>https://uk.linkedin.com/company/fink-family-office</x:v>
      </x:c>
      <x:c r="C357" s="39" t="str">
        <x:v>uk.linkedin.com</x:v>
      </x:c>
      <x:c r="D357" s="39" t="str">
        <x:v>Tese / critérios</x:v>
      </x:c>
      <x:c r="E357" s="39" t="str">
        <x:v>Investidor</x:v>
      </x:c>
      <x:c r="F357" s="39" t="str">
        <x:v>INV030</x:v>
      </x:c>
      <x:c r="G357" s="44" t="str">
        <x:v>2026-09-09</x:v>
      </x:c>
      <x:c r="H357" s="39" t="str">
        <x:v>Ativa</x:v>
      </x:c>
      <x:c r="I357" s="39" t="str">
        <x:v>Fonte pública; verificar novamente antes de outreach.</x:v>
      </x:c>
    </x:row>
    <x:row r="358" ht="40" customHeight="1">
      <x:c r="A358" s="39" t="str">
        <x:v>SRC00357</x:v>
      </x:c>
      <x:c r="B358" s="39" t="str">
        <x:v>https://uk.linkedin.com/company/fink-family-office</x:v>
      </x:c>
      <x:c r="C358" s="39" t="str">
        <x:v>uk.linkedin.com</x:v>
      </x:c>
      <x:c r="D358" s="39" t="str">
        <x:v>Equipa</x:v>
      </x:c>
      <x:c r="E358" s="39" t="str">
        <x:v>Investidor</x:v>
      </x:c>
      <x:c r="F358" s="39" t="str">
        <x:v>INV030</x:v>
      </x:c>
      <x:c r="G358" s="44" t="str">
        <x:v>2026-09-09</x:v>
      </x:c>
      <x:c r="H358" s="39" t="str">
        <x:v>Ativa</x:v>
      </x:c>
      <x:c r="I358" s="39" t="str">
        <x:v>Fonte pública; verificar novamente antes de outreach.</x:v>
      </x:c>
    </x:row>
    <x:row r="359" ht="40" customHeight="1">
      <x:c r="A359" s="39" t="str">
        <x:v>SRC00358</x:v>
      </x:c>
      <x:c r="B359" s="39" t="str">
        <x:v>https://www.dig.ventures/</x:v>
      </x:c>
      <x:c r="C359" s="39" t="str">
        <x:v>www.dig.ventures</x:v>
      </x:c>
      <x:c r="D359" s="39" t="str">
        <x:v>Tese / critérios</x:v>
      </x:c>
      <x:c r="E359" s="39" t="str">
        <x:v>Investidor</x:v>
      </x:c>
      <x:c r="F359" s="39" t="str">
        <x:v>INV031</x:v>
      </x:c>
      <x:c r="G359" s="44" t="str">
        <x:v>2026-09-09</x:v>
      </x:c>
      <x:c r="H359" s="39" t="str">
        <x:v>Ativa</x:v>
      </x:c>
      <x:c r="I359" s="39" t="str">
        <x:v>Fonte pública; verificar novamente antes de outreach.</x:v>
      </x:c>
    </x:row>
    <x:row r="360" ht="40" customHeight="1">
      <x:c r="A360" s="39" t="str">
        <x:v>SRC00359</x:v>
      </x:c>
      <x:c r="B360" s="39" t="str">
        <x:v>https://www.dig.ventures/team</x:v>
      </x:c>
      <x:c r="C360" s="39" t="str">
        <x:v>www.dig.ventures</x:v>
      </x:c>
      <x:c r="D360" s="39" t="str">
        <x:v>Equipa</x:v>
      </x:c>
      <x:c r="E360" s="39" t="str">
        <x:v>Investidor</x:v>
      </x:c>
      <x:c r="F360" s="39" t="str">
        <x:v>INV031</x:v>
      </x:c>
      <x:c r="G360" s="44" t="str">
        <x:v>2026-09-09</x:v>
      </x:c>
      <x:c r="H360" s="39" t="str">
        <x:v>Ativa</x:v>
      </x:c>
      <x:c r="I360" s="39" t="str">
        <x:v>Fonte pública; verificar novamente antes de outreach.</x:v>
      </x:c>
    </x:row>
    <x:row r="361" ht="40" customHeight="1">
      <x:c r="A361" s="39" t="str">
        <x:v>SRC00360</x:v>
      </x:c>
      <x:c r="B361" s="39" t="str">
        <x:v>https://smedvig.vc/</x:v>
      </x:c>
      <x:c r="C361" s="39" t="str">
        <x:v>smedvig.vc</x:v>
      </x:c>
      <x:c r="D361" s="39" t="str">
        <x:v>Tese / critérios</x:v>
      </x:c>
      <x:c r="E361" s="39" t="str">
        <x:v>Investidor</x:v>
      </x:c>
      <x:c r="F361" s="39" t="str">
        <x:v>INV032</x:v>
      </x:c>
      <x:c r="G361" s="44" t="str">
        <x:v>2026-09-09</x:v>
      </x:c>
      <x:c r="H361" s="39" t="str">
        <x:v>Ativa</x:v>
      </x:c>
      <x:c r="I361" s="39" t="str">
        <x:v>Fonte pública; verificar novamente antes de outreach.</x:v>
      </x:c>
    </x:row>
    <x:row r="362" ht="40" customHeight="1">
      <x:c r="A362" s="39" t="str">
        <x:v>SRC00361</x:v>
      </x:c>
      <x:c r="B362" s="39" t="str">
        <x:v>https://smedvig.vc/people/</x:v>
      </x:c>
      <x:c r="C362" s="39" t="str">
        <x:v>smedvig.vc</x:v>
      </x:c>
      <x:c r="D362" s="39" t="str">
        <x:v>Equipa</x:v>
      </x:c>
      <x:c r="E362" s="39" t="str">
        <x:v>Investidor</x:v>
      </x:c>
      <x:c r="F362" s="39" t="str">
        <x:v>INV032</x:v>
      </x:c>
      <x:c r="G362" s="44" t="str">
        <x:v>2026-09-09</x:v>
      </x:c>
      <x:c r="H362" s="39" t="str">
        <x:v>Ativa</x:v>
      </x:c>
      <x:c r="I362" s="39" t="str">
        <x:v>Fonte pública; verificar novamente antes de outreach.</x:v>
      </x:c>
    </x:row>
    <x:row r="363" ht="40" customHeight="1">
      <x:c r="A363" s="39" t="str">
        <x:v>SRC00362</x:v>
      </x:c>
      <x:c r="B363" s="39" t="str">
        <x:v>https://www.episode1.com/faq</x:v>
      </x:c>
      <x:c r="C363" s="39" t="str">
        <x:v>www.episode1.com</x:v>
      </x:c>
      <x:c r="D363" s="39" t="str">
        <x:v>Tese / critérios</x:v>
      </x:c>
      <x:c r="E363" s="39" t="str">
        <x:v>Investidor</x:v>
      </x:c>
      <x:c r="F363" s="39" t="str">
        <x:v>INV033</x:v>
      </x:c>
      <x:c r="G363" s="44" t="str">
        <x:v>2026-09-09</x:v>
      </x:c>
      <x:c r="H363" s="39" t="str">
        <x:v>Ativa</x:v>
      </x:c>
      <x:c r="I363" s="39" t="str">
        <x:v>Fonte pública; verificar novamente antes de outreach.</x:v>
      </x:c>
    </x:row>
    <x:row r="364" ht="40" customHeight="1">
      <x:c r="A364" s="39" t="str">
        <x:v>SRC00363</x:v>
      </x:c>
      <x:c r="B364" s="39" t="str">
        <x:v>https://www.episode1.com/team</x:v>
      </x:c>
      <x:c r="C364" s="39" t="str">
        <x:v>www.episode1.com</x:v>
      </x:c>
      <x:c r="D364" s="39" t="str">
        <x:v>Equipa</x:v>
      </x:c>
      <x:c r="E364" s="39" t="str">
        <x:v>Investidor</x:v>
      </x:c>
      <x:c r="F364" s="39" t="str">
        <x:v>INV033</x:v>
      </x:c>
      <x:c r="G364" s="44" t="str">
        <x:v>2026-09-09</x:v>
      </x:c>
      <x:c r="H364" s="39" t="str">
        <x:v>Ativa</x:v>
      </x:c>
      <x:c r="I364" s="39" t="str">
        <x:v>Fonte pública; verificar novamente antes de outreach.</x:v>
      </x:c>
    </x:row>
    <x:row r="365" ht="40" customHeight="1">
      <x:c r="A365" s="39" t="str">
        <x:v>SRC00364</x:v>
      </x:c>
      <x:c r="B365" s="39" t="str">
        <x:v>https://concept.vc/about-us</x:v>
      </x:c>
      <x:c r="C365" s="39" t="str">
        <x:v>concept.vc</x:v>
      </x:c>
      <x:c r="D365" s="39" t="str">
        <x:v>Tese / critérios</x:v>
      </x:c>
      <x:c r="E365" s="39" t="str">
        <x:v>Investidor</x:v>
      </x:c>
      <x:c r="F365" s="39" t="str">
        <x:v>INV034</x:v>
      </x:c>
      <x:c r="G365" s="44" t="str">
        <x:v>2026-09-09</x:v>
      </x:c>
      <x:c r="H365" s="39" t="str">
        <x:v>Ativa</x:v>
      </x:c>
      <x:c r="I365" s="39" t="str">
        <x:v>Fonte pública; verificar novamente antes de outreach.</x:v>
      </x:c>
    </x:row>
    <x:row r="366" ht="40" customHeight="1">
      <x:c r="A366" s="39" t="str">
        <x:v>SRC00365</x:v>
      </x:c>
      <x:c r="B366" s="39" t="str">
        <x:v>https://concept.vc/team</x:v>
      </x:c>
      <x:c r="C366" s="39" t="str">
        <x:v>concept.vc</x:v>
      </x:c>
      <x:c r="D366" s="39" t="str">
        <x:v>Equipa</x:v>
      </x:c>
      <x:c r="E366" s="39" t="str">
        <x:v>Investidor</x:v>
      </x:c>
      <x:c r="F366" s="39" t="str">
        <x:v>INV034</x:v>
      </x:c>
      <x:c r="G366" s="44" t="str">
        <x:v>2026-09-09</x:v>
      </x:c>
      <x:c r="H366" s="39" t="str">
        <x:v>Ativa</x:v>
      </x:c>
      <x:c r="I366" s="39" t="str">
        <x:v>Fonte pública; verificar novamente antes de outreach.</x:v>
      </x:c>
    </x:row>
    <x:row r="367" ht="40" customHeight="1">
      <x:c r="A367" s="39" t="str">
        <x:v>SRC00366</x:v>
      </x:c>
      <x:c r="B367" s="39" t="str">
        <x:v>https://www.empiricalventures.vc/</x:v>
      </x:c>
      <x:c r="C367" s="39" t="str">
        <x:v>www.empiricalventures.vc</x:v>
      </x:c>
      <x:c r="D367" s="39" t="str">
        <x:v>Tese / critérios</x:v>
      </x:c>
      <x:c r="E367" s="39" t="str">
        <x:v>Investidor</x:v>
      </x:c>
      <x:c r="F367" s="39" t="str">
        <x:v>INV035</x:v>
      </x:c>
      <x:c r="G367" s="44" t="str">
        <x:v>2026-09-09</x:v>
      </x:c>
      <x:c r="H367" s="39" t="str">
        <x:v>Ativa</x:v>
      </x:c>
      <x:c r="I367" s="39" t="str">
        <x:v>Fonte pública; verificar novamente antes de outreach.</x:v>
      </x:c>
    </x:row>
    <x:row r="368" ht="40" customHeight="1">
      <x:c r="A368" s="39" t="str">
        <x:v>SRC00367</x:v>
      </x:c>
      <x:c r="B368" s="39" t="str">
        <x:v>https://www.empiricalventures.vc/team</x:v>
      </x:c>
      <x:c r="C368" s="39" t="str">
        <x:v>www.empiricalventures.vc</x:v>
      </x:c>
      <x:c r="D368" s="39" t="str">
        <x:v>Equipa</x:v>
      </x:c>
      <x:c r="E368" s="39" t="str">
        <x:v>Investidor</x:v>
      </x:c>
      <x:c r="F368" s="39" t="str">
        <x:v>INV035</x:v>
      </x:c>
      <x:c r="G368" s="44" t="str">
        <x:v>2026-09-09</x:v>
      </x:c>
      <x:c r="H368" s="39" t="str">
        <x:v>Ativa</x:v>
      </x:c>
      <x:c r="I368" s="39" t="str">
        <x:v>Fonte pública; verificar novamente antes de outreach.</x:v>
      </x:c>
    </x:row>
    <x:row r="369" ht="40" customHeight="1">
      <x:c r="A369" s="39" t="str">
        <x:v>SRC00368</x:v>
      </x:c>
      <x:c r="B369" s="39" t="str">
        <x:v>https://korys.be/our-team/</x:v>
      </x:c>
      <x:c r="C369" s="39" t="str">
        <x:v>korys.be</x:v>
      </x:c>
      <x:c r="D369" s="39" t="str">
        <x:v>Perfil / equipa</x:v>
      </x:c>
      <x:c r="E369" s="39" t="str">
        <x:v>Pessoa</x:v>
      </x:c>
      <x:c r="F369" s="39" t="str">
        <x:v>PER0216</x:v>
      </x:c>
      <x:c r="G369" s="44" t="str">
        <x:v>2026-09-09</x:v>
      </x:c>
      <x:c r="H369" s="39" t="str">
        <x:v>Ativa</x:v>
      </x:c>
      <x:c r="I369" s="39" t="str">
        <x:v>Fonte pública; verificar novamente antes de outreach.</x:v>
      </x:c>
    </x:row>
    <x:row r="370" ht="40" customHeight="1">
      <x:c r="A370" s="39" t="str">
        <x:v>SRC00369</x:v>
      </x:c>
      <x:c r="B370" s="39" t="str">
        <x:v>https://korys.be/our-team/</x:v>
      </x:c>
      <x:c r="C370" s="39" t="str">
        <x:v>korys.be</x:v>
      </x:c>
      <x:c r="D370" s="39" t="str">
        <x:v>Perfil / equipa</x:v>
      </x:c>
      <x:c r="E370" s="39" t="str">
        <x:v>Pessoa</x:v>
      </x:c>
      <x:c r="F370" s="39" t="str">
        <x:v>PER0217</x:v>
      </x:c>
      <x:c r="G370" s="44" t="str">
        <x:v>2026-09-09</x:v>
      </x:c>
      <x:c r="H370" s="39" t="str">
        <x:v>Ativa</x:v>
      </x:c>
      <x:c r="I370" s="39" t="str">
        <x:v>Fonte pública; verificar novamente antes de outreach.</x:v>
      </x:c>
    </x:row>
    <x:row r="371" ht="40" customHeight="1">
      <x:c r="A371" s="39" t="str">
        <x:v>SRC00370</x:v>
      </x:c>
      <x:c r="B371" s="39" t="str">
        <x:v>https://korys.be/our-team/</x:v>
      </x:c>
      <x:c r="C371" s="39" t="str">
        <x:v>korys.be</x:v>
      </x:c>
      <x:c r="D371" s="39" t="str">
        <x:v>Perfil / equipa</x:v>
      </x:c>
      <x:c r="E371" s="39" t="str">
        <x:v>Pessoa</x:v>
      </x:c>
      <x:c r="F371" s="39" t="str">
        <x:v>PER0218</x:v>
      </x:c>
      <x:c r="G371" s="44" t="str">
        <x:v>2026-09-09</x:v>
      </x:c>
      <x:c r="H371" s="39" t="str">
        <x:v>Ativa</x:v>
      </x:c>
      <x:c r="I371" s="39" t="str">
        <x:v>Fonte pública; verificar novamente antes de outreach.</x:v>
      </x:c>
    </x:row>
    <x:row r="372" ht="40" customHeight="1">
      <x:c r="A372" s="39" t="str">
        <x:v>SRC00371</x:v>
      </x:c>
      <x:c r="B372" s="39" t="str">
        <x:v>https://korys.be/our-team/</x:v>
      </x:c>
      <x:c r="C372" s="39" t="str">
        <x:v>korys.be</x:v>
      </x:c>
      <x:c r="D372" s="39" t="str">
        <x:v>Perfil / equipa</x:v>
      </x:c>
      <x:c r="E372" s="39" t="str">
        <x:v>Pessoa</x:v>
      </x:c>
      <x:c r="F372" s="39" t="str">
        <x:v>PER0219</x:v>
      </x:c>
      <x:c r="G372" s="44" t="str">
        <x:v>2026-09-09</x:v>
      </x:c>
      <x:c r="H372" s="39" t="str">
        <x:v>Ativa</x:v>
      </x:c>
      <x:c r="I372" s="39" t="str">
        <x:v>Fonte pública; verificar novamente antes de outreach.</x:v>
      </x:c>
    </x:row>
    <x:row r="373" ht="40" customHeight="1">
      <x:c r="A373" s="39" t="str">
        <x:v>SRC00372</x:v>
      </x:c>
      <x:c r="B373" s="39" t="str">
        <x:v>https://korys.be/our-team/</x:v>
      </x:c>
      <x:c r="C373" s="39" t="str">
        <x:v>korys.be</x:v>
      </x:c>
      <x:c r="D373" s="39" t="str">
        <x:v>Perfil / equipa</x:v>
      </x:c>
      <x:c r="E373" s="39" t="str">
        <x:v>Pessoa</x:v>
      </x:c>
      <x:c r="F373" s="39" t="str">
        <x:v>PER0220</x:v>
      </x:c>
      <x:c r="G373" s="44" t="str">
        <x:v>2026-09-09</x:v>
      </x:c>
      <x:c r="H373" s="39" t="str">
        <x:v>Ativa</x:v>
      </x:c>
      <x:c r="I373" s="39" t="str">
        <x:v>Fonte pública; verificar novamente antes de outreach.</x:v>
      </x:c>
    </x:row>
    <x:row r="374" ht="40" customHeight="1">
      <x:c r="A374" s="39" t="str">
        <x:v>SRC00373</x:v>
      </x:c>
      <x:c r="B374" s="39" t="str">
        <x:v>https://www.vlaio.be/en/download/pdf?file=generated-pdf%2Frisicokapitaalverschaffer-korys_direct_investments-7362.pdf</x:v>
      </x:c>
      <x:c r="C374" s="39" t="str">
        <x:v>www.vlaio.be</x:v>
      </x:c>
      <x:c r="D374" s="39" t="str">
        <x:v>Perfil / equipa</x:v>
      </x:c>
      <x:c r="E374" s="39" t="str">
        <x:v>Pessoa</x:v>
      </x:c>
      <x:c r="F374" s="39" t="str">
        <x:v>PER0221</x:v>
      </x:c>
      <x:c r="G374" s="44" t="str">
        <x:v>2026-09-09</x:v>
      </x:c>
      <x:c r="H374" s="39" t="str">
        <x:v>Ativa</x:v>
      </x:c>
      <x:c r="I374" s="39" t="str">
        <x:v>Fonte pública; verificar novamente antes de outreach.</x:v>
      </x:c>
    </x:row>
    <x:row r="375" ht="40" customHeight="1">
      <x:c r="A375" s="39" t="str">
        <x:v>SRC00374</x:v>
      </x:c>
      <x:c r="B375" s="39" t="str">
        <x:v>https://it.linkedin.com/in/riccardo-porcelli-658b6874</x:v>
      </x:c>
      <x:c r="C375" s="39" t="str">
        <x:v>it.linkedin.com</x:v>
      </x:c>
      <x:c r="D375" s="39" t="str">
        <x:v>Perfil / equipa</x:v>
      </x:c>
      <x:c r="E375" s="39" t="str">
        <x:v>Pessoa</x:v>
      </x:c>
      <x:c r="F375" s="39" t="str">
        <x:v>PER0222</x:v>
      </x:c>
      <x:c r="G375" s="44" t="str">
        <x:v>2026-09-09</x:v>
      </x:c>
      <x:c r="H375" s="39" t="str">
        <x:v>Ativa</x:v>
      </x:c>
      <x:c r="I375" s="39" t="str">
        <x:v>Fonte pública; verificar novamente antes de outreach.</x:v>
      </x:c>
    </x:row>
    <x:row r="376" ht="40" customHeight="1">
      <x:c r="A376" s="39" t="str">
        <x:v>SRC00375</x:v>
      </x:c>
      <x:c r="B376" s="39" t="str">
        <x:v>https://it.linkedin.com/in/luigi-lonardi-3609a9118</x:v>
      </x:c>
      <x:c r="C376" s="39" t="str">
        <x:v>it.linkedin.com</x:v>
      </x:c>
      <x:c r="D376" s="39" t="str">
        <x:v>Perfil / equipa</x:v>
      </x:c>
      <x:c r="E376" s="39" t="str">
        <x:v>Pessoa</x:v>
      </x:c>
      <x:c r="F376" s="39" t="str">
        <x:v>PER0223</x:v>
      </x:c>
      <x:c r="G376" s="44" t="str">
        <x:v>2026-09-09</x:v>
      </x:c>
      <x:c r="H376" s="39" t="str">
        <x:v>Ativa</x:v>
      </x:c>
      <x:c r="I376" s="39" t="str">
        <x:v>Fonte pública; verificar novamente antes de outreach.</x:v>
      </x:c>
    </x:row>
    <x:row r="377" ht="40" customHeight="1">
      <x:c r="A377" s="39" t="str">
        <x:v>SRC00376</x:v>
      </x:c>
      <x:c r="B377" s="39" t="str">
        <x:v>https://uk.linkedin.com/in/alexandermfink</x:v>
      </x:c>
      <x:c r="C377" s="39" t="str">
        <x:v>uk.linkedin.com</x:v>
      </x:c>
      <x:c r="D377" s="39" t="str">
        <x:v>Perfil / equipa</x:v>
      </x:c>
      <x:c r="E377" s="39" t="str">
        <x:v>Pessoa</x:v>
      </x:c>
      <x:c r="F377" s="39" t="str">
        <x:v>PER0224</x:v>
      </x:c>
      <x:c r="G377" s="44" t="str">
        <x:v>2026-09-09</x:v>
      </x:c>
      <x:c r="H377" s="39" t="str">
        <x:v>Ativa</x:v>
      </x:c>
      <x:c r="I377" s="39" t="str">
        <x:v>Fonte pública; verificar novamente antes de outreach.</x:v>
      </x:c>
    </x:row>
    <x:row r="378" ht="40" customHeight="1">
      <x:c r="A378" s="39" t="str">
        <x:v>SRC00377</x:v>
      </x:c>
      <x:c r="B378" s="39" t="str">
        <x:v>https://uk.linkedin.com/in/jordan-fink-65304a123</x:v>
      </x:c>
      <x:c r="C378" s="39" t="str">
        <x:v>uk.linkedin.com</x:v>
      </x:c>
      <x:c r="D378" s="39" t="str">
        <x:v>Perfil / equipa</x:v>
      </x:c>
      <x:c r="E378" s="39" t="str">
        <x:v>Pessoa</x:v>
      </x:c>
      <x:c r="F378" s="39" t="str">
        <x:v>PER0225</x:v>
      </x:c>
      <x:c r="G378" s="44" t="str">
        <x:v>2026-09-09</x:v>
      </x:c>
      <x:c r="H378" s="39" t="str">
        <x:v>Ativa</x:v>
      </x:c>
      <x:c r="I378" s="39" t="str">
        <x:v>Fonte pública; verificar novamente antes de outreach.</x:v>
      </x:c>
    </x:row>
    <x:row r="379" ht="40" customHeight="1">
      <x:c r="A379" s="39" t="str">
        <x:v>SRC00378</x:v>
      </x:c>
      <x:c r="B379" s="39" t="str">
        <x:v>https://www.dig.ventures/team</x:v>
      </x:c>
      <x:c r="C379" s="39" t="str">
        <x:v>www.dig.ventures</x:v>
      </x:c>
      <x:c r="D379" s="39" t="str">
        <x:v>Perfil / equipa</x:v>
      </x:c>
      <x:c r="E379" s="39" t="str">
        <x:v>Pessoa</x:v>
      </x:c>
      <x:c r="F379" s="39" t="str">
        <x:v>PER0226</x:v>
      </x:c>
      <x:c r="G379" s="44" t="str">
        <x:v>2026-09-09</x:v>
      </x:c>
      <x:c r="H379" s="39" t="str">
        <x:v>Ativa</x:v>
      </x:c>
      <x:c r="I379" s="39" t="str">
        <x:v>Fonte pública; verificar novamente antes de outreach.</x:v>
      </x:c>
    </x:row>
    <x:row r="380" ht="40" customHeight="1">
      <x:c r="A380" s="39" t="str">
        <x:v>SRC00379</x:v>
      </x:c>
      <x:c r="B380" s="39" t="str">
        <x:v>https://www.dig.ventures/team</x:v>
      </x:c>
      <x:c r="C380" s="39" t="str">
        <x:v>www.dig.ventures</x:v>
      </x:c>
      <x:c r="D380" s="39" t="str">
        <x:v>Perfil / equipa</x:v>
      </x:c>
      <x:c r="E380" s="39" t="str">
        <x:v>Pessoa</x:v>
      </x:c>
      <x:c r="F380" s="39" t="str">
        <x:v>PER0227</x:v>
      </x:c>
      <x:c r="G380" s="44" t="str">
        <x:v>2026-09-09</x:v>
      </x:c>
      <x:c r="H380" s="39" t="str">
        <x:v>Ativa</x:v>
      </x:c>
      <x:c r="I380" s="39" t="str">
        <x:v>Fonte pública; verificar novamente antes de outreach.</x:v>
      </x:c>
    </x:row>
    <x:row r="381" ht="40" customHeight="1">
      <x:c r="A381" s="39" t="str">
        <x:v>SRC00380</x:v>
      </x:c>
      <x:c r="B381" s="39" t="str">
        <x:v>https://www.dig.ventures/team</x:v>
      </x:c>
      <x:c r="C381" s="39" t="str">
        <x:v>www.dig.ventures</x:v>
      </x:c>
      <x:c r="D381" s="39" t="str">
        <x:v>Perfil / equipa</x:v>
      </x:c>
      <x:c r="E381" s="39" t="str">
        <x:v>Pessoa</x:v>
      </x:c>
      <x:c r="F381" s="39" t="str">
        <x:v>PER0228</x:v>
      </x:c>
      <x:c r="G381" s="44" t="str">
        <x:v>2026-09-09</x:v>
      </x:c>
      <x:c r="H381" s="39" t="str">
        <x:v>Ativa</x:v>
      </x:c>
      <x:c r="I381" s="39" t="str">
        <x:v>Fonte pública; verificar novamente antes de outreach.</x:v>
      </x:c>
    </x:row>
    <x:row r="382" ht="40" customHeight="1">
      <x:c r="A382" s="39" t="str">
        <x:v>SRC00381</x:v>
      </x:c>
      <x:c r="B382" s="39" t="str">
        <x:v>https://smedvig.vc/people/jon-lerner/</x:v>
      </x:c>
      <x:c r="C382" s="39" t="str">
        <x:v>smedvig.vc</x:v>
      </x:c>
      <x:c r="D382" s="39" t="str">
        <x:v>Perfil / equipa</x:v>
      </x:c>
      <x:c r="E382" s="39" t="str">
        <x:v>Pessoa</x:v>
      </x:c>
      <x:c r="F382" s="39" t="str">
        <x:v>PER0229</x:v>
      </x:c>
      <x:c r="G382" s="44" t="str">
        <x:v>2026-09-09</x:v>
      </x:c>
      <x:c r="H382" s="39" t="str">
        <x:v>Ativa</x:v>
      </x:c>
      <x:c r="I382" s="39" t="str">
        <x:v>Fonte pública; verificar novamente antes de outreach.</x:v>
      </x:c>
    </x:row>
    <x:row r="383" ht="40" customHeight="1">
      <x:c r="A383" s="39" t="str">
        <x:v>SRC00382</x:v>
      </x:c>
      <x:c r="B383" s="39" t="str">
        <x:v>https://smedvig.vc/people/joe-knowles/</x:v>
      </x:c>
      <x:c r="C383" s="39" t="str">
        <x:v>smedvig.vc</x:v>
      </x:c>
      <x:c r="D383" s="39" t="str">
        <x:v>Perfil / equipa</x:v>
      </x:c>
      <x:c r="E383" s="39" t="str">
        <x:v>Pessoa</x:v>
      </x:c>
      <x:c r="F383" s="39" t="str">
        <x:v>PER0230</x:v>
      </x:c>
      <x:c r="G383" s="44" t="str">
        <x:v>2026-09-09</x:v>
      </x:c>
      <x:c r="H383" s="39" t="str">
        <x:v>Ativa</x:v>
      </x:c>
      <x:c r="I383" s="39" t="str">
        <x:v>Fonte pública; verificar novamente antes de outreach.</x:v>
      </x:c>
    </x:row>
    <x:row r="384" ht="40" customHeight="1">
      <x:c r="A384" s="39" t="str">
        <x:v>SRC00383</x:v>
      </x:c>
      <x:c r="B384" s="39" t="str">
        <x:v>https://smedvig.vc/people/rob-toms/</x:v>
      </x:c>
      <x:c r="C384" s="39" t="str">
        <x:v>smedvig.vc</x:v>
      </x:c>
      <x:c r="D384" s="39" t="str">
        <x:v>Perfil / equipa</x:v>
      </x:c>
      <x:c r="E384" s="39" t="str">
        <x:v>Pessoa</x:v>
      </x:c>
      <x:c r="F384" s="39" t="str">
        <x:v>PER0231</x:v>
      </x:c>
      <x:c r="G384" s="44" t="str">
        <x:v>2026-09-09</x:v>
      </x:c>
      <x:c r="H384" s="39" t="str">
        <x:v>Ativa</x:v>
      </x:c>
      <x:c r="I384" s="39" t="str">
        <x:v>Fonte pública; verificar novamente antes de outreach.</x:v>
      </x:c>
    </x:row>
    <x:row r="385" ht="40" customHeight="1">
      <x:c r="A385" s="39" t="str">
        <x:v>SRC00384</x:v>
      </x:c>
      <x:c r="B385" s="39" t="str">
        <x:v>https://smedvig.vc/people/peter-duffy/</x:v>
      </x:c>
      <x:c r="C385" s="39" t="str">
        <x:v>smedvig.vc</x:v>
      </x:c>
      <x:c r="D385" s="39" t="str">
        <x:v>Perfil / equipa</x:v>
      </x:c>
      <x:c r="E385" s="39" t="str">
        <x:v>Pessoa</x:v>
      </x:c>
      <x:c r="F385" s="39" t="str">
        <x:v>PER0232</x:v>
      </x:c>
      <x:c r="G385" s="44" t="str">
        <x:v>2026-09-09</x:v>
      </x:c>
      <x:c r="H385" s="39" t="str">
        <x:v>Ativa</x:v>
      </x:c>
      <x:c r="I385" s="39" t="str">
        <x:v>Fonte pública; verificar novamente antes de outreach.</x:v>
      </x:c>
    </x:row>
    <x:row r="386" ht="40" customHeight="1">
      <x:c r="A386" s="39" t="str">
        <x:v>SRC00385</x:v>
      </x:c>
      <x:c r="B386" s="39" t="str">
        <x:v>https://smedvig.vc/people/freddie-kalfayan/</x:v>
      </x:c>
      <x:c r="C386" s="39" t="str">
        <x:v>smedvig.vc</x:v>
      </x:c>
      <x:c r="D386" s="39" t="str">
        <x:v>Perfil / equipa</x:v>
      </x:c>
      <x:c r="E386" s="39" t="str">
        <x:v>Pessoa</x:v>
      </x:c>
      <x:c r="F386" s="39" t="str">
        <x:v>PER0233</x:v>
      </x:c>
      <x:c r="G386" s="44" t="str">
        <x:v>2026-09-09</x:v>
      </x:c>
      <x:c r="H386" s="39" t="str">
        <x:v>Ativa</x:v>
      </x:c>
      <x:c r="I386" s="39" t="str">
        <x:v>Fonte pública; verificar novamente antes de outreach.</x:v>
      </x:c>
    </x:row>
    <x:row r="387" ht="40" customHeight="1">
      <x:c r="A387" s="39" t="str">
        <x:v>SRC00386</x:v>
      </x:c>
      <x:c r="B387" s="39" t="str">
        <x:v>https://www.episode1.com/team</x:v>
      </x:c>
      <x:c r="C387" s="39" t="str">
        <x:v>www.episode1.com</x:v>
      </x:c>
      <x:c r="D387" s="39" t="str">
        <x:v>Perfil / equipa</x:v>
      </x:c>
      <x:c r="E387" s="39" t="str">
        <x:v>Pessoa</x:v>
      </x:c>
      <x:c r="F387" s="39" t="str">
        <x:v>PER0234</x:v>
      </x:c>
      <x:c r="G387" s="44" t="str">
        <x:v>2026-09-09</x:v>
      </x:c>
      <x:c r="H387" s="39" t="str">
        <x:v>Ativa</x:v>
      </x:c>
      <x:c r="I387" s="39" t="str">
        <x:v>Fonte pública; verificar novamente antes de outreach.</x:v>
      </x:c>
    </x:row>
    <x:row r="388" ht="40" customHeight="1">
      <x:c r="A388" s="39" t="str">
        <x:v>SRC00387</x:v>
      </x:c>
      <x:c r="B388" s="39" t="str">
        <x:v>https://www.episode1.com/team</x:v>
      </x:c>
      <x:c r="C388" s="39" t="str">
        <x:v>www.episode1.com</x:v>
      </x:c>
      <x:c r="D388" s="39" t="str">
        <x:v>Perfil / equipa</x:v>
      </x:c>
      <x:c r="E388" s="39" t="str">
        <x:v>Pessoa</x:v>
      </x:c>
      <x:c r="F388" s="39" t="str">
        <x:v>PER0235</x:v>
      </x:c>
      <x:c r="G388" s="44" t="str">
        <x:v>2026-09-09</x:v>
      </x:c>
      <x:c r="H388" s="39" t="str">
        <x:v>Ativa</x:v>
      </x:c>
      <x:c r="I388" s="39" t="str">
        <x:v>Fonte pública; verificar novamente antes de outreach.</x:v>
      </x:c>
    </x:row>
    <x:row r="389" ht="40" customHeight="1">
      <x:c r="A389" s="39" t="str">
        <x:v>SRC00388</x:v>
      </x:c>
      <x:c r="B389" s="39" t="str">
        <x:v>https://www.episode1.com/team</x:v>
      </x:c>
      <x:c r="C389" s="39" t="str">
        <x:v>www.episode1.com</x:v>
      </x:c>
      <x:c r="D389" s="39" t="str">
        <x:v>Perfil / equipa</x:v>
      </x:c>
      <x:c r="E389" s="39" t="str">
        <x:v>Pessoa</x:v>
      </x:c>
      <x:c r="F389" s="39" t="str">
        <x:v>PER0236</x:v>
      </x:c>
      <x:c r="G389" s="44" t="str">
        <x:v>2026-09-09</x:v>
      </x:c>
      <x:c r="H389" s="39" t="str">
        <x:v>Ativa</x:v>
      </x:c>
      <x:c r="I389" s="39" t="str">
        <x:v>Fonte pública; verificar novamente antes de outreach.</x:v>
      </x:c>
    </x:row>
    <x:row r="390" ht="40" customHeight="1">
      <x:c r="A390" s="39" t="str">
        <x:v>SRC00389</x:v>
      </x:c>
      <x:c r="B390" s="39" t="str">
        <x:v>https://www.episode1.com/team</x:v>
      </x:c>
      <x:c r="C390" s="39" t="str">
        <x:v>www.episode1.com</x:v>
      </x:c>
      <x:c r="D390" s="39" t="str">
        <x:v>Perfil / equipa</x:v>
      </x:c>
      <x:c r="E390" s="39" t="str">
        <x:v>Pessoa</x:v>
      </x:c>
      <x:c r="F390" s="39" t="str">
        <x:v>PER0237</x:v>
      </x:c>
      <x:c r="G390" s="44" t="str">
        <x:v>2026-09-09</x:v>
      </x:c>
      <x:c r="H390" s="39" t="str">
        <x:v>Ativa</x:v>
      </x:c>
      <x:c r="I390" s="39" t="str">
        <x:v>Fonte pública; verificar novamente antes de outreach.</x:v>
      </x:c>
    </x:row>
    <x:row r="391" ht="40" customHeight="1">
      <x:c r="A391" s="39" t="str">
        <x:v>SRC00390</x:v>
      </x:c>
      <x:c r="B391" s="39" t="str">
        <x:v>https://www.episode1.com/team</x:v>
      </x:c>
      <x:c r="C391" s="39" t="str">
        <x:v>www.episode1.com</x:v>
      </x:c>
      <x:c r="D391" s="39" t="str">
        <x:v>Perfil / equipa</x:v>
      </x:c>
      <x:c r="E391" s="39" t="str">
        <x:v>Pessoa</x:v>
      </x:c>
      <x:c r="F391" s="39" t="str">
        <x:v>PER0238</x:v>
      </x:c>
      <x:c r="G391" s="44" t="str">
        <x:v>2026-09-09</x:v>
      </x:c>
      <x:c r="H391" s="39" t="str">
        <x:v>Ativa</x:v>
      </x:c>
      <x:c r="I391" s="39" t="str">
        <x:v>Fonte pública; verificar novamente antes de outreach.</x:v>
      </x:c>
    </x:row>
    <x:row r="392" ht="40" customHeight="1">
      <x:c r="A392" s="39" t="str">
        <x:v>SRC00391</x:v>
      </x:c>
      <x:c r="B392" s="39" t="str">
        <x:v>https://www.episode1.com/team</x:v>
      </x:c>
      <x:c r="C392" s="39" t="str">
        <x:v>www.episode1.com</x:v>
      </x:c>
      <x:c r="D392" s="39" t="str">
        <x:v>Perfil / equipa</x:v>
      </x:c>
      <x:c r="E392" s="39" t="str">
        <x:v>Pessoa</x:v>
      </x:c>
      <x:c r="F392" s="39" t="str">
        <x:v>PER0239</x:v>
      </x:c>
      <x:c r="G392" s="44" t="str">
        <x:v>2026-09-09</x:v>
      </x:c>
      <x:c r="H392" s="39" t="str">
        <x:v>Ativa</x:v>
      </x:c>
      <x:c r="I392" s="39" t="str">
        <x:v>Fonte pública; verificar novamente antes de outreach.</x:v>
      </x:c>
    </x:row>
    <x:row r="393" ht="40" customHeight="1">
      <x:c r="A393" s="39" t="str">
        <x:v>SRC00392</x:v>
      </x:c>
      <x:c r="B393" s="39" t="str">
        <x:v>https://www.episode1.com/team</x:v>
      </x:c>
      <x:c r="C393" s="39" t="str">
        <x:v>www.episode1.com</x:v>
      </x:c>
      <x:c r="D393" s="39" t="str">
        <x:v>Perfil / equipa</x:v>
      </x:c>
      <x:c r="E393" s="39" t="str">
        <x:v>Pessoa</x:v>
      </x:c>
      <x:c r="F393" s="39" t="str">
        <x:v>PER0240</x:v>
      </x:c>
      <x:c r="G393" s="44" t="str">
        <x:v>2026-09-09</x:v>
      </x:c>
      <x:c r="H393" s="39" t="str">
        <x:v>Ativa</x:v>
      </x:c>
      <x:c r="I393" s="39" t="str">
        <x:v>Fonte pública; verificar novamente antes de outreach.</x:v>
      </x:c>
    </x:row>
    <x:row r="394" ht="40" customHeight="1">
      <x:c r="A394" s="39" t="str">
        <x:v>SRC00393</x:v>
      </x:c>
      <x:c r="B394" s="39" t="str">
        <x:v>https://concept.vc/team-members/reece-chowdhry</x:v>
      </x:c>
      <x:c r="C394" s="39" t="str">
        <x:v>concept.vc</x:v>
      </x:c>
      <x:c r="D394" s="39" t="str">
        <x:v>Perfil / equipa</x:v>
      </x:c>
      <x:c r="E394" s="39" t="str">
        <x:v>Pessoa</x:v>
      </x:c>
      <x:c r="F394" s="39" t="str">
        <x:v>PER0241</x:v>
      </x:c>
      <x:c r="G394" s="44" t="str">
        <x:v>2026-09-09</x:v>
      </x:c>
      <x:c r="H394" s="39" t="str">
        <x:v>Ativa</x:v>
      </x:c>
      <x:c r="I394" s="39" t="str">
        <x:v>Fonte pública; verificar novamente antes de outreach.</x:v>
      </x:c>
    </x:row>
    <x:row r="395" ht="40" customHeight="1">
      <x:c r="A395" s="39" t="str">
        <x:v>SRC00394</x:v>
      </x:c>
      <x:c r="B395" s="39" t="str">
        <x:v>https://concept.vc/team-members/oliver-kicks</x:v>
      </x:c>
      <x:c r="C395" s="39" t="str">
        <x:v>concept.vc</x:v>
      </x:c>
      <x:c r="D395" s="39" t="str">
        <x:v>Perfil / equipa</x:v>
      </x:c>
      <x:c r="E395" s="39" t="str">
        <x:v>Pessoa</x:v>
      </x:c>
      <x:c r="F395" s="39" t="str">
        <x:v>PER0242</x:v>
      </x:c>
      <x:c r="G395" s="44" t="str">
        <x:v>2026-09-09</x:v>
      </x:c>
      <x:c r="H395" s="39" t="str">
        <x:v>Ativa</x:v>
      </x:c>
      <x:c r="I395" s="39" t="str">
        <x:v>Fonte pública; verificar novamente antes de outreach.</x:v>
      </x:c>
    </x:row>
    <x:row r="396" ht="40" customHeight="1">
      <x:c r="A396" s="39" t="str">
        <x:v>SRC00395</x:v>
      </x:c>
      <x:c r="B396" s="39" t="str">
        <x:v>https://concept.vc/team-members/jeff-chowdhry</x:v>
      </x:c>
      <x:c r="C396" s="39" t="str">
        <x:v>concept.vc</x:v>
      </x:c>
      <x:c r="D396" s="39" t="str">
        <x:v>Perfil / equipa</x:v>
      </x:c>
      <x:c r="E396" s="39" t="str">
        <x:v>Pessoa</x:v>
      </x:c>
      <x:c r="F396" s="39" t="str">
        <x:v>PER0243</x:v>
      </x:c>
      <x:c r="G396" s="44" t="str">
        <x:v>2026-09-09</x:v>
      </x:c>
      <x:c r="H396" s="39" t="str">
        <x:v>Ativa</x:v>
      </x:c>
      <x:c r="I396" s="39" t="str">
        <x:v>Fonte pública; verificar novamente antes de outreach.</x:v>
      </x:c>
    </x:row>
    <x:row r="397" ht="40" customHeight="1">
      <x:c r="A397" s="39" t="str">
        <x:v>SRC00396</x:v>
      </x:c>
      <x:c r="B397" s="39" t="str">
        <x:v>https://concept.vc/team-members/hugo-hazon</x:v>
      </x:c>
      <x:c r="C397" s="39" t="str">
        <x:v>concept.vc</x:v>
      </x:c>
      <x:c r="D397" s="39" t="str">
        <x:v>Perfil / equipa</x:v>
      </x:c>
      <x:c r="E397" s="39" t="str">
        <x:v>Pessoa</x:v>
      </x:c>
      <x:c r="F397" s="39" t="str">
        <x:v>PER0244</x:v>
      </x:c>
      <x:c r="G397" s="44" t="str">
        <x:v>2026-09-09</x:v>
      </x:c>
      <x:c r="H397" s="39" t="str">
        <x:v>Ativa</x:v>
      </x:c>
      <x:c r="I397" s="39" t="str">
        <x:v>Fonte pública; verificar novamente antes de outreach.</x:v>
      </x:c>
    </x:row>
    <x:row r="398" ht="40" customHeight="1">
      <x:c r="A398" s="39" t="str">
        <x:v>SRC00397</x:v>
      </x:c>
      <x:c r="B398" s="39" t="str">
        <x:v>https://concept.vc/team-members/anrea</x:v>
      </x:c>
      <x:c r="C398" s="39" t="str">
        <x:v>concept.vc</x:v>
      </x:c>
      <x:c r="D398" s="39" t="str">
        <x:v>Perfil / equipa</x:v>
      </x:c>
      <x:c r="E398" s="39" t="str">
        <x:v>Pessoa</x:v>
      </x:c>
      <x:c r="F398" s="39" t="str">
        <x:v>PER0245</x:v>
      </x:c>
      <x:c r="G398" s="44" t="str">
        <x:v>2026-09-09</x:v>
      </x:c>
      <x:c r="H398" s="39" t="str">
        <x:v>Ativa</x:v>
      </x:c>
      <x:c r="I398" s="39" t="str">
        <x:v>Fonte pública; verificar novamente antes de outreach.</x:v>
      </x:c>
    </x:row>
    <x:row r="399" ht="40" customHeight="1">
      <x:c r="A399" s="39" t="str">
        <x:v>SRC00398</x:v>
      </x:c>
      <x:c r="B399" s="39" t="str">
        <x:v>https://concept.vc/team-members/kudei-sawyer-moses</x:v>
      </x:c>
      <x:c r="C399" s="39" t="str">
        <x:v>concept.vc</x:v>
      </x:c>
      <x:c r="D399" s="39" t="str">
        <x:v>Perfil / equipa</x:v>
      </x:c>
      <x:c r="E399" s="39" t="str">
        <x:v>Pessoa</x:v>
      </x:c>
      <x:c r="F399" s="39" t="str">
        <x:v>PER0246</x:v>
      </x:c>
      <x:c r="G399" s="44" t="str">
        <x:v>2026-09-09</x:v>
      </x:c>
      <x:c r="H399" s="39" t="str">
        <x:v>Ativa</x:v>
      </x:c>
      <x:c r="I399" s="39" t="str">
        <x:v>Fonte pública; verificar novamente antes de outreach.</x:v>
      </x:c>
    </x:row>
    <x:row r="400" ht="40" customHeight="1">
      <x:c r="A400" s="39" t="str">
        <x:v>SRC00399</x:v>
      </x:c>
      <x:c r="B400" s="39" t="str">
        <x:v>https://www.empiricalventures.vc/team</x:v>
      </x:c>
      <x:c r="C400" s="39" t="str">
        <x:v>www.empiricalventures.vc</x:v>
      </x:c>
      <x:c r="D400" s="39" t="str">
        <x:v>Perfil / equipa</x:v>
      </x:c>
      <x:c r="E400" s="39" t="str">
        <x:v>Pessoa</x:v>
      </x:c>
      <x:c r="F400" s="39" t="str">
        <x:v>PER0247</x:v>
      </x:c>
      <x:c r="G400" s="44" t="str">
        <x:v>2026-09-09</x:v>
      </x:c>
      <x:c r="H400" s="39" t="str">
        <x:v>Ativa</x:v>
      </x:c>
      <x:c r="I400" s="39" t="str">
        <x:v>Fonte pública; verificar novamente antes de outreach.</x:v>
      </x:c>
    </x:row>
    <x:row r="401" ht="40" customHeight="1">
      <x:c r="A401" s="39" t="str">
        <x:v>SRC00400</x:v>
      </x:c>
      <x:c r="B401" s="39" t="str">
        <x:v>https://www.empiricalventures.vc/team</x:v>
      </x:c>
      <x:c r="C401" s="39" t="str">
        <x:v>www.empiricalventures.vc</x:v>
      </x:c>
      <x:c r="D401" s="39" t="str">
        <x:v>Perfil / equipa</x:v>
      </x:c>
      <x:c r="E401" s="39" t="str">
        <x:v>Pessoa</x:v>
      </x:c>
      <x:c r="F401" s="39" t="str">
        <x:v>PER0248</x:v>
      </x:c>
      <x:c r="G401" s="44" t="str">
        <x:v>2026-09-09</x:v>
      </x:c>
      <x:c r="H401" s="39" t="str">
        <x:v>Ativa</x:v>
      </x:c>
      <x:c r="I401" s="39" t="str">
        <x:v>Fonte pública; verificar novamente antes de outreach.</x:v>
      </x:c>
    </x:row>
    <x:row r="402" ht="40" customHeight="1">
      <x:c r="A402" s="39" t="str">
        <x:v>SRC00401</x:v>
      </x:c>
      <x:c r="B402" s="39" t="str">
        <x:v>https://korys.be/korys-sustainability-journey-from-the-initial-spark-to-future-realities/</x:v>
      </x:c>
      <x:c r="C402" s="39" t="str">
        <x:v>korys.be</x:v>
      </x:c>
      <x:c r="D402" s="39" t="str">
        <x:v>Entrevista institucional</x:v>
      </x:c>
      <x:c r="E402" s="39" t="str">
        <x:v>Conteúdo / hook</x:v>
      </x:c>
      <x:c r="F402" s="39" t="str">
        <x:v>HOK0068</x:v>
      </x:c>
      <x:c r="G402" s="44" t="str">
        <x:v>2026-09-09</x:v>
      </x:c>
      <x:c r="H402" s="39" t="str">
        <x:v>Ativa</x:v>
      </x:c>
      <x:c r="I402" s="39" t="str">
        <x:v>Fonte pública; verificar novamente antes de outreach.</x:v>
      </x:c>
    </x:row>
    <x:row r="403" ht="40" customHeight="1">
      <x:c r="A403" s="39" t="str">
        <x:v>SRC00402</x:v>
      </x:c>
      <x:c r="B403" s="39" t="str">
        <x:v>https://korys.be/the-three-secret-ingredients-in-the-d-drinks-recipe/</x:v>
      </x:c>
      <x:c r="C403" s="39" t="str">
        <x:v>korys.be</x:v>
      </x:c>
      <x:c r="D403" s="39" t="str">
        <x:v>Entrevista / caso de investimento</x:v>
      </x:c>
      <x:c r="E403" s="39" t="str">
        <x:v>Conteúdo / hook</x:v>
      </x:c>
      <x:c r="F403" s="39" t="str">
        <x:v>HOK0069</x:v>
      </x:c>
      <x:c r="G403" s="44" t="str">
        <x:v>2026-09-09</x:v>
      </x:c>
      <x:c r="H403" s="39" t="str">
        <x:v>Ativa</x:v>
      </x:c>
      <x:c r="I403" s="39" t="str">
        <x:v>Fonte pública; verificar novamente antes de outreach.</x:v>
      </x:c>
    </x:row>
    <x:row r="404" ht="40" customHeight="1">
      <x:c r="A404" s="39" t="str">
        <x:v>SRC00403</x:v>
      </x:c>
      <x:c r="B404" s="39" t="str">
        <x:v>https://korys.be/our-team/</x:v>
      </x:c>
      <x:c r="C404" s="39" t="str">
        <x:v>korys.be</x:v>
      </x:c>
      <x:c r="D404" s="39" t="str">
        <x:v>Perfil oficial</x:v>
      </x:c>
      <x:c r="E404" s="39" t="str">
        <x:v>Conteúdo / hook</x:v>
      </x:c>
      <x:c r="F404" s="39" t="str">
        <x:v>HOK0070</x:v>
      </x:c>
      <x:c r="G404" s="44" t="str">
        <x:v>2026-09-09</x:v>
      </x:c>
      <x:c r="H404" s="39" t="str">
        <x:v>Ativa</x:v>
      </x:c>
      <x:c r="I404" s="39" t="str">
        <x:v>Fonte pública; verificar novamente antes de outreach.</x:v>
      </x:c>
    </x:row>
    <x:row r="405" ht="40" customHeight="1">
      <x:c r="A405" s="39" t="str">
        <x:v>SRC00404</x:v>
      </x:c>
      <x:c r="B405" s="39" t="str">
        <x:v>https://korys.be/pers/greenely-secures-e8-million-in-series-a-funding-led-by-korys-to-enhance-household-energy-optimization-and-expand-its-residential-virtual-power-plant-platform/</x:v>
      </x:c>
      <x:c r="C405" s="39" t="str">
        <x:v>korys.be</x:v>
      </x:c>
      <x:c r="D405" s="39" t="str">
        <x:v>Declaração em anúncio</x:v>
      </x:c>
      <x:c r="E405" s="39" t="str">
        <x:v>Conteúdo / hook</x:v>
      </x:c>
      <x:c r="F405" s="39" t="str">
        <x:v>HOK0071</x:v>
      </x:c>
      <x:c r="G405" s="44" t="str">
        <x:v>2026-09-09</x:v>
      </x:c>
      <x:c r="H405" s="39" t="str">
        <x:v>Ativa</x:v>
      </x:c>
      <x:c r="I405" s="39" t="str">
        <x:v>Fonte pública; verificar novamente antes de outreach.</x:v>
      </x:c>
    </x:row>
    <x:row r="406" ht="40" customHeight="1">
      <x:c r="A406" s="39" t="str">
        <x:v>SRC00405</x:v>
      </x:c>
      <x:c r="B406" s="39" t="str">
        <x:v>https://be.linkedin.com/posts/de-tijd_familie-colruyt-investeert-in-nieuwe-kankerbestrijding-activity-6986721035131723778-BJSi</x:v>
      </x:c>
      <x:c r="C406" s="39" t="str">
        <x:v>be.linkedin.com</x:v>
      </x:c>
      <x:c r="D406" s="39" t="str">
        <x:v>Declaração citada pela imprensa</x:v>
      </x:c>
      <x:c r="E406" s="39" t="str">
        <x:v>Conteúdo / hook</x:v>
      </x:c>
      <x:c r="F406" s="39" t="str">
        <x:v>HOK0072</x:v>
      </x:c>
      <x:c r="G406" s="44" t="str">
        <x:v>2026-09-09</x:v>
      </x:c>
      <x:c r="H406" s="39" t="str">
        <x:v>Ativa</x:v>
      </x:c>
      <x:c r="I406" s="39" t="str">
        <x:v>Fonte pública; verificar novamente antes de outreach.</x:v>
      </x:c>
    </x:row>
    <x:row r="407" ht="40" customHeight="1">
      <x:c r="A407" s="39" t="str">
        <x:v>SRC00406</x:v>
      </x:c>
      <x:c r="B407" s="39" t="str">
        <x:v>https://www.linkedin.com/posts/riccardo-porcelli-658b6874_proud-and-happy-to-join-the-unobravo-servizio-activity-7141031623407439876-fnCY</x:v>
      </x:c>
      <x:c r="C407" s="39" t="str">
        <x:v>www.linkedin.com</x:v>
      </x:c>
      <x:c r="D407" s="39" t="str">
        <x:v>Publicação LinkedIn</x:v>
      </x:c>
      <x:c r="E407" s="39" t="str">
        <x:v>Conteúdo / hook</x:v>
      </x:c>
      <x:c r="F407" s="39" t="str">
        <x:v>HOK0073</x:v>
      </x:c>
      <x:c r="G407" s="44" t="str">
        <x:v>2026-09-09</x:v>
      </x:c>
      <x:c r="H407" s="39" t="str">
        <x:v>Ativa</x:v>
      </x:c>
      <x:c r="I407" s="39" t="str">
        <x:v>Fonte pública; verificar novamente antes de outreach.</x:v>
      </x:c>
    </x:row>
    <x:row r="408" ht="40" customHeight="1">
      <x:c r="A408" s="39" t="str">
        <x:v>SRC00407</x:v>
      </x:c>
      <x:c r="B408" s="39" t="str">
        <x:v>https://www.newdealadvisors.com/wp-content/uploads/2023/11/dealfloer-h14-weroad-27.11.pdf</x:v>
      </x:c>
      <x:c r="C408" s="39" t="str">
        <x:v>www.newdealadvisors.com</x:v>
      </x:c>
      <x:c r="D408" s="39" t="str">
        <x:v>Declaração em notícia de investimento</x:v>
      </x:c>
      <x:c r="E408" s="39" t="str">
        <x:v>Conteúdo / hook</x:v>
      </x:c>
      <x:c r="F408" s="39" t="str">
        <x:v>HOK0074</x:v>
      </x:c>
      <x:c r="G408" s="44" t="str">
        <x:v>2026-09-09</x:v>
      </x:c>
      <x:c r="H408" s="39" t="str">
        <x:v>Ativa</x:v>
      </x:c>
      <x:c r="I408" s="39" t="str">
        <x:v>Fonte pública; verificar novamente antes de outreach.</x:v>
      </x:c>
    </x:row>
    <x:row r="409" ht="40" customHeight="1">
      <x:c r="A409" s="39" t="str">
        <x:v>SRC00408</x:v>
      </x:c>
      <x:c r="B409" s="39" t="str">
        <x:v>https://it.linkedin.com/in/riccardo-porcelli-658b6874</x:v>
      </x:c>
      <x:c r="C409" s="39" t="str">
        <x:v>it.linkedin.com</x:v>
      </x:c>
      <x:c r="D409" s="39" t="str">
        <x:v>Publicação LinkedIn no perfil</x:v>
      </x:c>
      <x:c r="E409" s="39" t="str">
        <x:v>Conteúdo / hook</x:v>
      </x:c>
      <x:c r="F409" s="39" t="str">
        <x:v>HOK0075</x:v>
      </x:c>
      <x:c r="G409" s="44" t="str">
        <x:v>2026-09-09</x:v>
      </x:c>
      <x:c r="H409" s="39" t="str">
        <x:v>Ativa</x:v>
      </x:c>
      <x:c r="I409" s="39" t="str">
        <x:v>Fonte pública; verificar novamente antes de outreach.</x:v>
      </x:c>
    </x:row>
    <x:row r="410" ht="40" customHeight="1">
      <x:c r="A410" s="39" t="str">
        <x:v>SRC00409</x:v>
      </x:c>
      <x:c r="B410" s="39" t="str">
        <x:v>https://www.linkedin.com/posts/alexandermfink_how-are-family-offices-leveraging-ai-for-activity-7491175283249721344-B0Py</x:v>
      </x:c>
      <x:c r="C410" s="39" t="str">
        <x:v>www.linkedin.com</x:v>
      </x:c>
      <x:c r="D410" s="39" t="str">
        <x:v>Publicação LinkedIn</x:v>
      </x:c>
      <x:c r="E410" s="39" t="str">
        <x:v>Conteúdo / hook</x:v>
      </x:c>
      <x:c r="F410" s="39" t="str">
        <x:v>HOK0076</x:v>
      </x:c>
      <x:c r="G410" s="44" t="str">
        <x:v>2026-09-09</x:v>
      </x:c>
      <x:c r="H410" s="39" t="str">
        <x:v>Ativa</x:v>
      </x:c>
      <x:c r="I410" s="39" t="str">
        <x:v>Fonte pública; verificar novamente antes de outreach.</x:v>
      </x:c>
    </x:row>
    <x:row r="411" ht="40" customHeight="1">
      <x:c r="A411" s="39" t="str">
        <x:v>SRC00410</x:v>
      </x:c>
      <x:c r="B411" s="39" t="str">
        <x:v>https://www.linkedin.com/posts/alexandermfink_a-week-in-the-life-of-a-fo-fast-paced-high-value-activity-7453820105060356096-FEZe</x:v>
      </x:c>
      <x:c r="C411" s="39" t="str">
        <x:v>www.linkedin.com</x:v>
      </x:c>
      <x:c r="D411" s="39" t="str">
        <x:v>Publicação LinkedIn</x:v>
      </x:c>
      <x:c r="E411" s="39" t="str">
        <x:v>Conteúdo / hook</x:v>
      </x:c>
      <x:c r="F411" s="39" t="str">
        <x:v>HOK0077</x:v>
      </x:c>
      <x:c r="G411" s="44" t="str">
        <x:v>2026-09-09</x:v>
      </x:c>
      <x:c r="H411" s="39" t="str">
        <x:v>Ativa</x:v>
      </x:c>
      <x:c r="I411" s="39" t="str">
        <x:v>Fonte pública; verificar novamente antes de outreach.</x:v>
      </x:c>
    </x:row>
    <x:row r="412" ht="40" customHeight="1">
      <x:c r="A412" s="39" t="str">
        <x:v>SRC00411</x:v>
      </x:c>
      <x:c r="B412" s="39" t="str">
        <x:v>https://uk.linkedin.com/company/fink-family-office</x:v>
      </x:c>
      <x:c r="C412" s="39" t="str">
        <x:v>uk.linkedin.com</x:v>
      </x:c>
      <x:c r="D412" s="39" t="str">
        <x:v>Publicação institucional com repost</x:v>
      </x:c>
      <x:c r="E412" s="39" t="str">
        <x:v>Conteúdo / hook</x:v>
      </x:c>
      <x:c r="F412" s="39" t="str">
        <x:v>HOK0078</x:v>
      </x:c>
      <x:c r="G412" s="44" t="str">
        <x:v>2026-09-09</x:v>
      </x:c>
      <x:c r="H412" s="39" t="str">
        <x:v>Ativa</x:v>
      </x:c>
      <x:c r="I412" s="39" t="str">
        <x:v>Fonte pública; verificar novamente antes de outreach.</x:v>
      </x:c>
    </x:row>
    <x:row r="413" ht="40" customHeight="1">
      <x:c r="A413" s="39" t="str">
        <x:v>SRC00412</x:v>
      </x:c>
      <x:c r="B413" s="39" t="str">
        <x:v>https://www.linkedin.com/posts/alexandermfink_congrats-to-my-brother-jordan-fink-on-his-activity-7341049198877765632-uIlH</x:v>
      </x:c>
      <x:c r="C413" s="39" t="str">
        <x:v>www.linkedin.com</x:v>
      </x:c>
      <x:c r="D413" s="39" t="str">
        <x:v>Publicação LinkedIn reproduzida</x:v>
      </x:c>
      <x:c r="E413" s="39" t="str">
        <x:v>Conteúdo / hook</x:v>
      </x:c>
      <x:c r="F413" s="39" t="str">
        <x:v>HOK0079</x:v>
      </x:c>
      <x:c r="G413" s="44" t="str">
        <x:v>2026-09-09</x:v>
      </x:c>
      <x:c r="H413" s="39" t="str">
        <x:v>Ativa</x:v>
      </x:c>
      <x:c r="I413" s="39" t="str">
        <x:v>Fonte pública; verificar novamente antes de outreach.</x:v>
      </x:c>
    </x:row>
    <x:row r="414" ht="40" customHeight="1">
      <x:c r="A414" s="39" t="str">
        <x:v>SRC00413</x:v>
      </x:c>
      <x:c r="B414" s="39" t="str">
        <x:v>https://pe2026.com/</x:v>
      </x:c>
      <x:c r="C414" s="39" t="str">
        <x:v>pe2026.com</x:v>
      </x:c>
      <x:c r="D414" s="39" t="str">
        <x:v>Participação anunciada em conferência</x:v>
      </x:c>
      <x:c r="E414" s="39" t="str">
        <x:v>Conteúdo / hook</x:v>
      </x:c>
      <x:c r="F414" s="39" t="str">
        <x:v>HOK0080</x:v>
      </x:c>
      <x:c r="G414" s="44" t="str">
        <x:v>2026-09-09</x:v>
      </x:c>
      <x:c r="H414" s="39" t="str">
        <x:v>Ativa</x:v>
      </x:c>
      <x:c r="I414" s="39" t="str">
        <x:v>Fonte pública; verificar novamente antes de outreach.</x:v>
      </x:c>
    </x:row>
    <x:row r="415" ht="40" customHeight="1">
      <x:c r="A415" s="39" t="str">
        <x:v>SRC00414</x:v>
      </x:c>
      <x:c r="B415" s="39" t="str">
        <x:v>https://www.linkedin.com/posts/ross-mason_a-proud-moment-for-the-dig-ventures-team-activity-7316021223954501634-0mPN</x:v>
      </x:c>
      <x:c r="C415" s="39" t="str">
        <x:v>www.linkedin.com</x:v>
      </x:c>
      <x:c r="D415" s="39" t="str">
        <x:v>Publicação LinkedIn</x:v>
      </x:c>
      <x:c r="E415" s="39" t="str">
        <x:v>Conteúdo / hook</x:v>
      </x:c>
      <x:c r="F415" s="39" t="str">
        <x:v>HOK0081</x:v>
      </x:c>
      <x:c r="G415" s="44" t="str">
        <x:v>2026-09-09</x:v>
      </x:c>
      <x:c r="H415" s="39" t="str">
        <x:v>Ativa</x:v>
      </x:c>
      <x:c r="I415" s="39" t="str">
        <x:v>Fonte pública; verificar novamente antes de outreach.</x:v>
      </x:c>
    </x:row>
    <x:row r="416" ht="40" customHeight="1">
      <x:c r="A416" s="39" t="str">
        <x:v>SRC00415</x:v>
      </x:c>
      <x:c r="B416" s="39" t="str">
        <x:v>https://www.linkedin.com/posts/ross-mason_cofounder-of-italys-first-unicorn-raises-activity-7244437286103257089-Lnpb</x:v>
      </x:c>
      <x:c r="C416" s="39" t="str">
        <x:v>www.linkedin.com</x:v>
      </x:c>
      <x:c r="D416" s="39" t="str">
        <x:v>Publicação LinkedIn</x:v>
      </x:c>
      <x:c r="E416" s="39" t="str">
        <x:v>Conteúdo / hook</x:v>
      </x:c>
      <x:c r="F416" s="39" t="str">
        <x:v>HOK0082</x:v>
      </x:c>
      <x:c r="G416" s="44" t="str">
        <x:v>2026-09-09</x:v>
      </x:c>
      <x:c r="H416" s="39" t="str">
        <x:v>Ativa</x:v>
      </x:c>
      <x:c r="I416" s="39" t="str">
        <x:v>Fonte pública; verificar novamente antes de outreach.</x:v>
      </x:c>
    </x:row>
    <x:row r="417" ht="40" customHeight="1">
      <x:c r="A417" s="39" t="str">
        <x:v>SRC00416</x:v>
      </x:c>
      <x:c r="B417" s="39" t="str">
        <x:v>https://www.dig.ventures/team</x:v>
      </x:c>
      <x:c r="C417" s="39" t="str">
        <x:v>www.dig.ventures</x:v>
      </x:c>
      <x:c r="D417" s="39" t="str">
        <x:v>Perfil oficial</x:v>
      </x:c>
      <x:c r="E417" s="39" t="str">
        <x:v>Conteúdo / hook</x:v>
      </x:c>
      <x:c r="F417" s="39" t="str">
        <x:v>HOK0083</x:v>
      </x:c>
      <x:c r="G417" s="44" t="str">
        <x:v>2026-09-09</x:v>
      </x:c>
      <x:c r="H417" s="39" t="str">
        <x:v>Ativa</x:v>
      </x:c>
      <x:c r="I417" s="39" t="str">
        <x:v>Fonte pública; verificar novamente antes de outreach.</x:v>
      </x:c>
    </x:row>
    <x:row r="418" ht="40" customHeight="1">
      <x:c r="A418" s="39" t="str">
        <x:v>SRC00417</x:v>
      </x:c>
      <x:c r="B418" s="39" t="str">
        <x:v>https://cfotech.co.uk/story/tower-raises-usd-6-4m-to-bring-ai-data-code-to-prod</x:v>
      </x:c>
      <x:c r="C418" s="39" t="str">
        <x:v>cfotech.co.uk</x:v>
      </x:c>
      <x:c r="D418" s="39" t="str">
        <x:v>Declaração citada pela imprensa</x:v>
      </x:c>
      <x:c r="E418" s="39" t="str">
        <x:v>Conteúdo / hook</x:v>
      </x:c>
      <x:c r="F418" s="39" t="str">
        <x:v>HOK0084</x:v>
      </x:c>
      <x:c r="G418" s="44" t="str">
        <x:v>2026-09-09</x:v>
      </x:c>
      <x:c r="H418" s="39" t="str">
        <x:v>Ativa</x:v>
      </x:c>
      <x:c r="I418" s="39" t="str">
        <x:v>Fonte pública; verificar novamente antes de outreach.</x:v>
      </x:c>
    </x:row>
    <x:row r="419" ht="40" customHeight="1">
      <x:c r="A419" s="39" t="str">
        <x:v>SRC00418</x:v>
      </x:c>
      <x:c r="B419" s="39" t="str">
        <x:v>https://www.linkedin.com/posts/rvitkauskas_all-in-one-ai-platform-activity-7386353860748931072-MolE</x:v>
      </x:c>
      <x:c r="C419" s="39" t="str">
        <x:v>www.linkedin.com</x:v>
      </x:c>
      <x:c r="D419" s="39" t="str">
        <x:v>Publicação LinkedIn</x:v>
      </x:c>
      <x:c r="E419" s="39" t="str">
        <x:v>Conteúdo / hook</x:v>
      </x:c>
      <x:c r="F419" s="39" t="str">
        <x:v>HOK0085</x:v>
      </x:c>
      <x:c r="G419" s="44" t="str">
        <x:v>2026-09-09</x:v>
      </x:c>
      <x:c r="H419" s="39" t="str">
        <x:v>Ativa</x:v>
      </x:c>
      <x:c r="I419" s="39" t="str">
        <x:v>Fonte pública; verificar novamente antes de outreach.</x:v>
      </x:c>
    </x:row>
    <x:row r="420" ht="40" customHeight="1">
      <x:c r="A420" s="39" t="str">
        <x:v>SRC00419</x:v>
      </x:c>
      <x:c r="B420" s="39" t="str">
        <x:v>https://smedvig.vc/people/jon-lerner/</x:v>
      </x:c>
      <x:c r="C420" s="39" t="str">
        <x:v>smedvig.vc</x:v>
      </x:c>
      <x:c r="D420" s="39" t="str">
        <x:v>Entrevista no perfil oficial</x:v>
      </x:c>
      <x:c r="E420" s="39" t="str">
        <x:v>Conteúdo / hook</x:v>
      </x:c>
      <x:c r="F420" s="39" t="str">
        <x:v>HOK0086</x:v>
      </x:c>
      <x:c r="G420" s="44" t="str">
        <x:v>2026-09-09</x:v>
      </x:c>
      <x:c r="H420" s="39" t="str">
        <x:v>Ativa</x:v>
      </x:c>
      <x:c r="I420" s="39" t="str">
        <x:v>Fonte pública; verificar novamente antes de outreach.</x:v>
      </x:c>
    </x:row>
    <x:row r="421" ht="40" customHeight="1">
      <x:c r="A421" s="39" t="str">
        <x:v>SRC00420</x:v>
      </x:c>
      <x:c r="B421" s="39" t="str">
        <x:v>https://smedvig.vc/people/jon-lerner/</x:v>
      </x:c>
      <x:c r="C421" s="39" t="str">
        <x:v>smedvig.vc</x:v>
      </x:c>
      <x:c r="D421" s="39" t="str">
        <x:v>Entrevista no perfil oficial</x:v>
      </x:c>
      <x:c r="E421" s="39" t="str">
        <x:v>Conteúdo / hook</x:v>
      </x:c>
      <x:c r="F421" s="39" t="str">
        <x:v>HOK0087</x:v>
      </x:c>
      <x:c r="G421" s="44" t="str">
        <x:v>2026-09-09</x:v>
      </x:c>
      <x:c r="H421" s="39" t="str">
        <x:v>Ativa</x:v>
      </x:c>
      <x:c r="I421" s="39" t="str">
        <x:v>Fonte pública; verificar novamente antes de outreach.</x:v>
      </x:c>
    </x:row>
    <x:row r="422" ht="40" customHeight="1">
      <x:c r="A422" s="39" t="str">
        <x:v>SRC00421</x:v>
      </x:c>
      <x:c r="B422" s="39" t="str">
        <x:v>https://smedvig.vc/people/joe-knowles/</x:v>
      </x:c>
      <x:c r="C422" s="39" t="str">
        <x:v>smedvig.vc</x:v>
      </x:c>
      <x:c r="D422" s="39" t="str">
        <x:v>Entrevista no perfil oficial</x:v>
      </x:c>
      <x:c r="E422" s="39" t="str">
        <x:v>Conteúdo / hook</x:v>
      </x:c>
      <x:c r="F422" s="39" t="str">
        <x:v>HOK0088</x:v>
      </x:c>
      <x:c r="G422" s="44" t="str">
        <x:v>2026-09-09</x:v>
      </x:c>
      <x:c r="H422" s="39" t="str">
        <x:v>Ativa</x:v>
      </x:c>
      <x:c r="I422" s="39" t="str">
        <x:v>Fonte pública; verificar novamente antes de outreach.</x:v>
      </x:c>
    </x:row>
    <x:row r="423" ht="40" customHeight="1">
      <x:c r="A423" s="39" t="str">
        <x:v>SRC00422</x:v>
      </x:c>
      <x:c r="B423" s="39" t="str">
        <x:v>https://smedvig.vc/people/joe-knowles/</x:v>
      </x:c>
      <x:c r="C423" s="39" t="str">
        <x:v>smedvig.vc</x:v>
      </x:c>
      <x:c r="D423" s="39" t="str">
        <x:v>Recomendação pública de livro</x:v>
      </x:c>
      <x:c r="E423" s="39" t="str">
        <x:v>Conteúdo / hook</x:v>
      </x:c>
      <x:c r="F423" s="39" t="str">
        <x:v>HOK0089</x:v>
      </x:c>
      <x:c r="G423" s="44" t="str">
        <x:v>2026-09-09</x:v>
      </x:c>
      <x:c r="H423" s="39" t="str">
        <x:v>Ativa</x:v>
      </x:c>
      <x:c r="I423" s="39" t="str">
        <x:v>Fonte pública; verificar novamente antes de outreach.</x:v>
      </x:c>
    </x:row>
    <x:row r="424" ht="40" customHeight="1">
      <x:c r="A424" s="39" t="str">
        <x:v>SRC00423</x:v>
      </x:c>
      <x:c r="B424" s="39" t="str">
        <x:v>https://smedvig.vc/people/rob-toms/</x:v>
      </x:c>
      <x:c r="C424" s="39" t="str">
        <x:v>smedvig.vc</x:v>
      </x:c>
      <x:c r="D424" s="39" t="str">
        <x:v>Entrevista no perfil oficial</x:v>
      </x:c>
      <x:c r="E424" s="39" t="str">
        <x:v>Conteúdo / hook</x:v>
      </x:c>
      <x:c r="F424" s="39" t="str">
        <x:v>HOK0090</x:v>
      </x:c>
      <x:c r="G424" s="44" t="str">
        <x:v>2026-09-09</x:v>
      </x:c>
      <x:c r="H424" s="39" t="str">
        <x:v>Ativa</x:v>
      </x:c>
      <x:c r="I424" s="39" t="str">
        <x:v>Fonte pública; verificar novamente antes de outreach.</x:v>
      </x:c>
    </x:row>
    <x:row r="425" ht="40" customHeight="1">
      <x:c r="A425" s="39" t="str">
        <x:v>SRC00424</x:v>
      </x:c>
      <x:c r="B425" s="39" t="str">
        <x:v>https://smedvig.vc/people/peter-duffy/</x:v>
      </x:c>
      <x:c r="C425" s="39" t="str">
        <x:v>smedvig.vc</x:v>
      </x:c>
      <x:c r="D425" s="39" t="str">
        <x:v>Entrevista no perfil oficial</x:v>
      </x:c>
      <x:c r="E425" s="39" t="str">
        <x:v>Conteúdo / hook</x:v>
      </x:c>
      <x:c r="F425" s="39" t="str">
        <x:v>HOK0091</x:v>
      </x:c>
      <x:c r="G425" s="44" t="str">
        <x:v>2026-09-09</x:v>
      </x:c>
      <x:c r="H425" s="39" t="str">
        <x:v>Ativa</x:v>
      </x:c>
      <x:c r="I425" s="39" t="str">
        <x:v>Fonte pública; verificar novamente antes de outreach.</x:v>
      </x:c>
    </x:row>
    <x:row r="426" ht="40" customHeight="1">
      <x:c r="A426" s="39" t="str">
        <x:v>SRC00425</x:v>
      </x:c>
      <x:c r="B426" s="39" t="str">
        <x:v>https://smedvig.vc/people/freddie-kalfayan/</x:v>
      </x:c>
      <x:c r="C426" s="39" t="str">
        <x:v>smedvig.vc</x:v>
      </x:c>
      <x:c r="D426" s="39" t="str">
        <x:v>Entrevista no perfil oficial</x:v>
      </x:c>
      <x:c r="E426" s="39" t="str">
        <x:v>Conteúdo / hook</x:v>
      </x:c>
      <x:c r="F426" s="39" t="str">
        <x:v>HOK0092</x:v>
      </x:c>
      <x:c r="G426" s="44" t="str">
        <x:v>2026-09-09</x:v>
      </x:c>
      <x:c r="H426" s="39" t="str">
        <x:v>Ativa</x:v>
      </x:c>
      <x:c r="I426" s="39" t="str">
        <x:v>Fonte pública; verificar novamente antes de outreach.</x:v>
      </x:c>
    </x:row>
    <x:row r="427" ht="40" customHeight="1">
      <x:c r="A427" s="39" t="str">
        <x:v>SRC00426</x:v>
      </x:c>
      <x:c r="B427" s="39" t="str">
        <x:v>https://vcwire.tech/2024/02/08/episode-1-ventures-interview-with-general-partner-hector-mason/</x:v>
      </x:c>
      <x:c r="C427" s="39" t="str">
        <x:v>vcwire.tech</x:v>
      </x:c>
      <x:c r="D427" s="39" t="str">
        <x:v>Entrevista</x:v>
      </x:c>
      <x:c r="E427" s="39" t="str">
        <x:v>Conteúdo / hook</x:v>
      </x:c>
      <x:c r="F427" s="39" t="str">
        <x:v>HOK0093</x:v>
      </x:c>
      <x:c r="G427" s="44" t="str">
        <x:v>2026-09-09</x:v>
      </x:c>
      <x:c r="H427" s="39" t="str">
        <x:v>Ativa</x:v>
      </x:c>
      <x:c r="I427" s="39" t="str">
        <x:v>Fonte pública; verificar novamente antes de outreach.</x:v>
      </x:c>
    </x:row>
    <x:row r="428" ht="40" customHeight="1">
      <x:c r="A428" s="39" t="str">
        <x:v>SRC00427</x:v>
      </x:c>
      <x:c r="B428" s="39" t="str">
        <x:v>https://medium.com/episode-1-ventures/in-the-hot-seat-with-hector-mason-c9c6bc0ff18a</x:v>
      </x:c>
      <x:c r="C428" s="39" t="str">
        <x:v>medium.com</x:v>
      </x:c>
      <x:c r="D428" s="39" t="str">
        <x:v>Entrevista institucional</x:v>
      </x:c>
      <x:c r="E428" s="39" t="str">
        <x:v>Conteúdo / hook</x:v>
      </x:c>
      <x:c r="F428" s="39" t="str">
        <x:v>HOK0094</x:v>
      </x:c>
      <x:c r="G428" s="44" t="str">
        <x:v>2026-09-09</x:v>
      </x:c>
      <x:c r="H428" s="39" t="str">
        <x:v>Ativa</x:v>
      </x:c>
      <x:c r="I428" s="39" t="str">
        <x:v>Fonte pública; verificar novamente antes de outreach.</x:v>
      </x:c>
    </x:row>
    <x:row r="429" ht="40" customHeight="1">
      <x:c r="A429" s="39" t="str">
        <x:v>SRC00428</x:v>
      </x:c>
      <x:c r="B429" s="39" t="str">
        <x:v>https://www.linkedin.com/posts/adamshuaib_at-episode-1-weve-built-an-ai-model-trained-activity-7272528423053381635-HA9x</x:v>
      </x:c>
      <x:c r="C429" s="39" t="str">
        <x:v>www.linkedin.com</x:v>
      </x:c>
      <x:c r="D429" s="39" t="str">
        <x:v>Publicação LinkedIn</x:v>
      </x:c>
      <x:c r="E429" s="39" t="str">
        <x:v>Conteúdo / hook</x:v>
      </x:c>
      <x:c r="F429" s="39" t="str">
        <x:v>HOK0095</x:v>
      </x:c>
      <x:c r="G429" s="44" t="str">
        <x:v>2026-09-09</x:v>
      </x:c>
      <x:c r="H429" s="39" t="str">
        <x:v>Ativa</x:v>
      </x:c>
      <x:c r="I429" s="39" t="str">
        <x:v>Fonte pública; verificar novamente antes de outreach.</x:v>
      </x:c>
    </x:row>
    <x:row r="430" ht="40" customHeight="1">
      <x:c r="A430" s="39" t="str">
        <x:v>SRC00429</x:v>
      </x:c>
      <x:c r="B430" s="39" t="str">
        <x:v>https://www.linkedin.com/pulse/your-start-up-business-pet-project-simon-murdoch</x:v>
      </x:c>
      <x:c r="C430" s="39" t="str">
        <x:v>www.linkedin.com</x:v>
      </x:c>
      <x:c r="D430" s="39" t="str">
        <x:v>Artigo de autoria pessoal</x:v>
      </x:c>
      <x:c r="E430" s="39" t="str">
        <x:v>Conteúdo / hook</x:v>
      </x:c>
      <x:c r="F430" s="39" t="str">
        <x:v>HOK0096</x:v>
      </x:c>
      <x:c r="G430" s="44" t="str">
        <x:v>2026-09-09</x:v>
      </x:c>
      <x:c r="H430" s="39" t="str">
        <x:v>Ativa</x:v>
      </x:c>
      <x:c r="I430" s="39" t="str">
        <x:v>Fonte pública; verificar novamente antes de outreach.</x:v>
      </x:c>
    </x:row>
    <x:row r="431" ht="40" customHeight="1">
      <x:c r="A431" s="39" t="str">
        <x:v>SRC00430</x:v>
      </x:c>
      <x:c r="B431" s="39" t="str">
        <x:v>https://unicorn-nest.com/media/interviews/adrian-lloyd-episode-1-ventures/</x:v>
      </x:c>
      <x:c r="C431" s="39" t="str">
        <x:v>unicorn-nest.com</x:v>
      </x:c>
      <x:c r="D431" s="39" t="str">
        <x:v>Entrevista</x:v>
      </x:c>
      <x:c r="E431" s="39" t="str">
        <x:v>Conteúdo / hook</x:v>
      </x:c>
      <x:c r="F431" s="39" t="str">
        <x:v>HOK0097</x:v>
      </x:c>
      <x:c r="G431" s="44" t="str">
        <x:v>2026-09-09</x:v>
      </x:c>
      <x:c r="H431" s="39" t="str">
        <x:v>Ativa</x:v>
      </x:c>
      <x:c r="I431" s="39" t="str">
        <x:v>Fonte pública; verificar novamente antes de outreach.</x:v>
      </x:c>
    </x:row>
    <x:row r="432" ht="40" customHeight="1">
      <x:c r="A432" s="39" t="str">
        <x:v>SRC00431</x:v>
      </x:c>
      <x:c r="B432" s="39" t="str">
        <x:v>https://medium.com/%40adrianelloyd/octopus-true-invest-in-thirdeye-b58b4239d835</x:v>
      </x:c>
      <x:c r="C432" s="39" t="str">
        <x:v>medium.com</x:v>
      </x:c>
      <x:c r="D432" s="39" t="str">
        <x:v>Artigo de autoria pessoal</x:v>
      </x:c>
      <x:c r="E432" s="39" t="str">
        <x:v>Conteúdo / hook</x:v>
      </x:c>
      <x:c r="F432" s="39" t="str">
        <x:v>HOK0098</x:v>
      </x:c>
      <x:c r="G432" s="44" t="str">
        <x:v>2026-09-09</x:v>
      </x:c>
      <x:c r="H432" s="39" t="str">
        <x:v>Ativa</x:v>
      </x:c>
      <x:c r="I432" s="39" t="str">
        <x:v>Fonte pública; verificar novamente antes de outreach.</x:v>
      </x:c>
    </x:row>
    <x:row r="433" ht="40" customHeight="1">
      <x:c r="A433" s="39" t="str">
        <x:v>SRC00432</x:v>
      </x:c>
      <x:c r="B433" s="39" t="str">
        <x:v>https://concept.vc/team-members/reece-chowdhry</x:v>
      </x:c>
      <x:c r="C433" s="39" t="str">
        <x:v>concept.vc</x:v>
      </x:c>
      <x:c r="D433" s="39" t="str">
        <x:v>Perfil oficial</x:v>
      </x:c>
      <x:c r="E433" s="39" t="str">
        <x:v>Conteúdo / hook</x:v>
      </x:c>
      <x:c r="F433" s="39" t="str">
        <x:v>HOK0099</x:v>
      </x:c>
      <x:c r="G433" s="44" t="str">
        <x:v>2026-09-09</x:v>
      </x:c>
      <x:c r="H433" s="39" t="str">
        <x:v>Ativa</x:v>
      </x:c>
      <x:c r="I433" s="39" t="str">
        <x:v>Fonte pública; verificar novamente antes de outreach.</x:v>
      </x:c>
    </x:row>
    <x:row r="434" ht="40" customHeight="1">
      <x:c r="A434" s="39" t="str">
        <x:v>SRC00433</x:v>
      </x:c>
      <x:c r="B434" s="39" t="str">
        <x:v>https://concept.vc/team-members/oliver-kicks</x:v>
      </x:c>
      <x:c r="C434" s="39" t="str">
        <x:v>concept.vc</x:v>
      </x:c>
      <x:c r="D434" s="39" t="str">
        <x:v>Perfil oficial</x:v>
      </x:c>
      <x:c r="E434" s="39" t="str">
        <x:v>Conteúdo / hook</x:v>
      </x:c>
      <x:c r="F434" s="39" t="str">
        <x:v>HOK0100</x:v>
      </x:c>
      <x:c r="G434" s="44" t="str">
        <x:v>2026-09-09</x:v>
      </x:c>
      <x:c r="H434" s="39" t="str">
        <x:v>Ativa</x:v>
      </x:c>
      <x:c r="I434" s="39" t="str">
        <x:v>Fonte pública; verificar novamente antes de outreach.</x:v>
      </x:c>
    </x:row>
    <x:row r="435" ht="40" customHeight="1">
      <x:c r="A435" s="39" t="str">
        <x:v>SRC00434</x:v>
      </x:c>
      <x:c r="B435" s="39" t="str">
        <x:v>https://concept.vc/team-members/jeff-chowdhry</x:v>
      </x:c>
      <x:c r="C435" s="39" t="str">
        <x:v>concept.vc</x:v>
      </x:c>
      <x:c r="D435" s="39" t="str">
        <x:v>Perfil oficial</x:v>
      </x:c>
      <x:c r="E435" s="39" t="str">
        <x:v>Conteúdo / hook</x:v>
      </x:c>
      <x:c r="F435" s="39" t="str">
        <x:v>HOK0101</x:v>
      </x:c>
      <x:c r="G435" s="44" t="str">
        <x:v>2026-09-09</x:v>
      </x:c>
      <x:c r="H435" s="39" t="str">
        <x:v>Ativa</x:v>
      </x:c>
      <x:c r="I435" s="39" t="str">
        <x:v>Fonte pública; verificar novamente antes de outreach.</x:v>
      </x:c>
    </x:row>
    <x:row r="436" ht="40" customHeight="1">
      <x:c r="A436" s="39" t="str">
        <x:v>SRC00435</x:v>
      </x:c>
      <x:c r="B436" s="39" t="str">
        <x:v>https://concept.vc/team-members/hugo-hazon</x:v>
      </x:c>
      <x:c r="C436" s="39" t="str">
        <x:v>concept.vc</x:v>
      </x:c>
      <x:c r="D436" s="39" t="str">
        <x:v>Perfil oficial</x:v>
      </x:c>
      <x:c r="E436" s="39" t="str">
        <x:v>Conteúdo / hook</x:v>
      </x:c>
      <x:c r="F436" s="39" t="str">
        <x:v>HOK0102</x:v>
      </x:c>
      <x:c r="G436" s="44" t="str">
        <x:v>2026-09-09</x:v>
      </x:c>
      <x:c r="H436" s="39" t="str">
        <x:v>Ativa</x:v>
      </x:c>
      <x:c r="I436" s="39" t="str">
        <x:v>Fonte pública; verificar novamente antes de outreach.</x:v>
      </x:c>
    </x:row>
    <x:row r="437" ht="40" customHeight="1">
      <x:c r="A437" s="39" t="str">
        <x:v>SRC00436</x:v>
      </x:c>
      <x:c r="B437" s="39" t="str">
        <x:v>https://concept.vc/team-members/anrea</x:v>
      </x:c>
      <x:c r="C437" s="39" t="str">
        <x:v>concept.vc</x:v>
      </x:c>
      <x:c r="D437" s="39" t="str">
        <x:v>Perfil oficial</x:v>
      </x:c>
      <x:c r="E437" s="39" t="str">
        <x:v>Conteúdo / hook</x:v>
      </x:c>
      <x:c r="F437" s="39" t="str">
        <x:v>HOK0103</x:v>
      </x:c>
      <x:c r="G437" s="44" t="str">
        <x:v>2026-09-09</x:v>
      </x:c>
      <x:c r="H437" s="39" t="str">
        <x:v>Ativa</x:v>
      </x:c>
      <x:c r="I437" s="39" t="str">
        <x:v>Fonte pública; verificar novamente antes de outreach.</x:v>
      </x:c>
    </x:row>
    <x:row r="438" ht="40" customHeight="1">
      <x:c r="A438" s="39" t="str">
        <x:v>SRC00437</x:v>
      </x:c>
      <x:c r="B438" s="39" t="str">
        <x:v>https://concept.vc/team-members/kudei-sawyer-moses</x:v>
      </x:c>
      <x:c r="C438" s="39" t="str">
        <x:v>concept.vc</x:v>
      </x:c>
      <x:c r="D438" s="39" t="str">
        <x:v>Perfil oficial</x:v>
      </x:c>
      <x:c r="E438" s="39" t="str">
        <x:v>Conteúdo / hook</x:v>
      </x:c>
      <x:c r="F438" s="39" t="str">
        <x:v>HOK0104</x:v>
      </x:c>
      <x:c r="G438" s="44" t="str">
        <x:v>2026-09-09</x:v>
      </x:c>
      <x:c r="H438" s="39" t="str">
        <x:v>Ativa</x:v>
      </x:c>
      <x:c r="I438" s="39" t="str">
        <x:v>Fonte pública; verificar novamente antes de outreach.</x:v>
      </x:c>
    </x:row>
    <x:row r="439" ht="40" customHeight="1">
      <x:c r="A439" s="39" t="str">
        <x:v>SRC00438</x:v>
      </x:c>
      <x:c r="B439" s="39" t="str">
        <x:v>https://www.empiricalventures.vc/news/nuclear-turbines-raises-15m-pre-seed</x:v>
      </x:c>
      <x:c r="C439" s="39" t="str">
        <x:v>www.empiricalventures.vc</x:v>
      </x:c>
      <x:c r="D439" s="39" t="str">
        <x:v>Declaração em anúncio</x:v>
      </x:c>
      <x:c r="E439" s="39" t="str">
        <x:v>Conteúdo / hook</x:v>
      </x:c>
      <x:c r="F439" s="39" t="str">
        <x:v>HOK0105</x:v>
      </x:c>
      <x:c r="G439" s="44" t="str">
        <x:v>2026-09-09</x:v>
      </x:c>
      <x:c r="H439" s="39" t="str">
        <x:v>Ativa</x:v>
      </x:c>
      <x:c r="I439" s="39" t="str">
        <x:v>Fonte pública; verificar novamente antes de outreach.</x:v>
      </x:c>
    </x:row>
    <x:row r="440" ht="40" customHeight="1">
      <x:c r="A440" s="39" t="str">
        <x:v>SRC00439</x:v>
      </x:c>
      <x:c r="B440" s="39" t="str">
        <x:v>https://www.empiricalventures.vc/news/nuclear-turbines-raises-15m-pre-seed</x:v>
      </x:c>
      <x:c r="C440" s="39" t="str">
        <x:v>www.empiricalventures.vc</x:v>
      </x:c>
      <x:c r="D440" s="39" t="str">
        <x:v>Declaração em anúncio</x:v>
      </x:c>
      <x:c r="E440" s="39" t="str">
        <x:v>Conteúdo / hook</x:v>
      </x:c>
      <x:c r="F440" s="39" t="str">
        <x:v>HOK0106</x:v>
      </x:c>
      <x:c r="G440" s="44" t="str">
        <x:v>2026-09-09</x:v>
      </x:c>
      <x:c r="H440" s="39" t="str">
        <x:v>Ativa</x:v>
      </x:c>
      <x:c r="I440" s="39" t="str">
        <x:v>Fonte pública; verificar novamente antes de outreach.</x:v>
      </x:c>
    </x:row>
    <x:row r="441" ht="40" customHeight="1">
      <x:c r="A441" s="39" t="str">
        <x:v>SRC00440</x:v>
      </x:c>
      <x:c r="B441" s="39" t="str">
        <x:v>https://www.empiricalventures.vc/news/proxima-fusion-empirical-ventures-backs-europes-leading-fusion-company</x:v>
      </x:c>
      <x:c r="C441" s="39" t="str">
        <x:v>www.empiricalventures.vc</x:v>
      </x:c>
      <x:c r="D441" s="39" t="str">
        <x:v>Caso institucional de sourcing</x:v>
      </x:c>
      <x:c r="E441" s="39" t="str">
        <x:v>Conteúdo / hook</x:v>
      </x:c>
      <x:c r="F441" s="39" t="str">
        <x:v>HOK0107</x:v>
      </x:c>
      <x:c r="G441" s="44" t="str">
        <x:v>2026-09-09</x:v>
      </x:c>
      <x:c r="H441" s="39" t="str">
        <x:v>Ativa</x:v>
      </x:c>
      <x:c r="I441" s="39" t="str">
        <x:v>Fonte pública; verificar novamente antes de outreach.</x:v>
      </x:c>
    </x:row>
    <x:row r="442" ht="40" customHeight="1">
      <x:c r="A442" s="39" t="str">
        <x:v>SRC00441</x:v>
      </x:c>
      <x:c r="B442" s="39" t="str">
        <x:v>https://www.empiricalventures.vc/team</x:v>
      </x:c>
      <x:c r="C442" s="39" t="str">
        <x:v>www.empiricalventures.vc</x:v>
      </x:c>
      <x:c r="D442" s="39" t="str">
        <x:v>Perfil oficial</x:v>
      </x:c>
      <x:c r="E442" s="39" t="str">
        <x:v>Conteúdo / hook</x:v>
      </x:c>
      <x:c r="F442" s="39" t="str">
        <x:v>HOK0108</x:v>
      </x:c>
      <x:c r="G442" s="44" t="str">
        <x:v>2026-09-09</x:v>
      </x:c>
      <x:c r="H442" s="39" t="str">
        <x:v>Ativa</x:v>
      </x:c>
      <x:c r="I442" s="39" t="str">
        <x:v>Fonte pública; verificar novamente antes de outreach.</x:v>
      </x:c>
    </x:row>
    <x:row r="443" ht="40" customHeight="1">
      <x:c r="A443" s="39" t="str">
        <x:v>SRC00442</x:v>
      </x:c>
      <x:c r="B443" s="39" t="str">
        <x:v>https://smedvig.vc/people/joe-knowles/</x:v>
      </x:c>
      <x:c r="C443" s="39" t="str">
        <x:v>smedvig.vc</x:v>
      </x:c>
      <x:c r="D443" s="39" t="str">
        <x:v>Sinal pessoal público</x:v>
      </x:c>
      <x:c r="E443" s="39" t="str">
        <x:v>Sinal pessoal</x:v>
      </x:c>
      <x:c r="F443" s="39" t="str">
        <x:v>SIG0016</x:v>
      </x:c>
      <x:c r="G443" s="44" t="str">
        <x:v>2026-09-09</x:v>
      </x:c>
      <x:c r="H443" s="39" t="str">
        <x:v>Ativa</x:v>
      </x:c>
      <x:c r="I443" s="39" t="str">
        <x:v>Fonte pública; verificar novamente antes de outreach.</x:v>
      </x:c>
    </x:row>
    <x:row r="444" ht="40" customHeight="1">
      <x:c r="A444" s="39" t="str">
        <x:v>SRC00443</x:v>
      </x:c>
      <x:c r="B444" s="39" t="str">
        <x:v>https://smedvig.vc/people/jon-lerner/</x:v>
      </x:c>
      <x:c r="C444" s="39" t="str">
        <x:v>smedvig.vc</x:v>
      </x:c>
      <x:c r="D444" s="39" t="str">
        <x:v>Sinal pessoal público</x:v>
      </x:c>
      <x:c r="E444" s="39" t="str">
        <x:v>Sinal pessoal</x:v>
      </x:c>
      <x:c r="F444" s="39" t="str">
        <x:v>SIG0017</x:v>
      </x:c>
      <x:c r="G444" s="44" t="str">
        <x:v>2026-09-09</x:v>
      </x:c>
      <x:c r="H444" s="39" t="str">
        <x:v>Ativa</x:v>
      </x:c>
      <x:c r="I444" s="39" t="str">
        <x:v>Fonte pública; verificar novamente antes de outreach.</x:v>
      </x:c>
    </x:row>
    <x:row r="445" ht="40" customHeight="1">
      <x:c r="A445" s="39" t="str">
        <x:v>SRC00444</x:v>
      </x:c>
      <x:c r="B445" s="39" t="str">
        <x:v>https://smedvig.vc/people/rob-toms/</x:v>
      </x:c>
      <x:c r="C445" s="39" t="str">
        <x:v>smedvig.vc</x:v>
      </x:c>
      <x:c r="D445" s="39" t="str">
        <x:v>Sinal pessoal público</x:v>
      </x:c>
      <x:c r="E445" s="39" t="str">
        <x:v>Sinal pessoal</x:v>
      </x:c>
      <x:c r="F445" s="39" t="str">
        <x:v>SIG0018</x:v>
      </x:c>
      <x:c r="G445" s="44" t="str">
        <x:v>2026-09-09</x:v>
      </x:c>
      <x:c r="H445" s="39" t="str">
        <x:v>Ativa</x:v>
      </x:c>
      <x:c r="I445" s="39" t="str">
        <x:v>Fonte pública; verificar novamente antes de outreach.</x:v>
      </x:c>
    </x:row>
    <x:row r="446" ht="40" customHeight="1">
      <x:c r="A446" s="39" t="str">
        <x:v>SRC00445</x:v>
      </x:c>
      <x:c r="B446" s="39" t="str">
        <x:v>https://smedvig.vc/people/peter-duffy/</x:v>
      </x:c>
      <x:c r="C446" s="39" t="str">
        <x:v>smedvig.vc</x:v>
      </x:c>
      <x:c r="D446" s="39" t="str">
        <x:v>Sinal pessoal público</x:v>
      </x:c>
      <x:c r="E446" s="39" t="str">
        <x:v>Sinal pessoal</x:v>
      </x:c>
      <x:c r="F446" s="39" t="str">
        <x:v>SIG0019</x:v>
      </x:c>
      <x:c r="G446" s="44" t="str">
        <x:v>2026-09-09</x:v>
      </x:c>
      <x:c r="H446" s="39" t="str">
        <x:v>Ativa</x:v>
      </x:c>
      <x:c r="I446" s="39" t="str">
        <x:v>Fonte pública; verificar novamente antes de outreach.</x:v>
      </x:c>
    </x:row>
    <x:row r="447" ht="40" customHeight="1">
      <x:c r="A447" s="39" t="str">
        <x:v>SRC00446</x:v>
      </x:c>
      <x:c r="B447" s="39" t="str">
        <x:v>https://smedvig.vc/people/freddie-kalfayan/</x:v>
      </x:c>
      <x:c r="C447" s="39" t="str">
        <x:v>smedvig.vc</x:v>
      </x:c>
      <x:c r="D447" s="39" t="str">
        <x:v>Sinal pessoal público</x:v>
      </x:c>
      <x:c r="E447" s="39" t="str">
        <x:v>Sinal pessoal</x:v>
      </x:c>
      <x:c r="F447" s="39" t="str">
        <x:v>SIG0020</x:v>
      </x:c>
      <x:c r="G447" s="44" t="str">
        <x:v>2026-09-09</x:v>
      </x:c>
      <x:c r="H447" s="39" t="str">
        <x:v>Ativa</x:v>
      </x:c>
      <x:c r="I447" s="39" t="str">
        <x:v>Fonte pública; verificar novamente antes de outreach.</x:v>
      </x:c>
    </x:row>
    <x:row r="448" ht="40" customHeight="1">
      <x:c r="A448" s="39" t="str">
        <x:v>SRC00447</x:v>
      </x:c>
      <x:c r="B448" s="39" t="str">
        <x:v>https://www.episode1.com/team</x:v>
      </x:c>
      <x:c r="C448" s="39" t="str">
        <x:v>www.episode1.com</x:v>
      </x:c>
      <x:c r="D448" s="39" t="str">
        <x:v>Sinal pessoal público</x:v>
      </x:c>
      <x:c r="E448" s="39" t="str">
        <x:v>Sinal pessoal</x:v>
      </x:c>
      <x:c r="F448" s="39" t="str">
        <x:v>SIG0021</x:v>
      </x:c>
      <x:c r="G448" s="44" t="str">
        <x:v>2026-09-09</x:v>
      </x:c>
      <x:c r="H448" s="39" t="str">
        <x:v>Ativa</x:v>
      </x:c>
      <x:c r="I448" s="39" t="str">
        <x:v>Fonte pública; verificar novamente antes de outreach.</x:v>
      </x:c>
    </x:row>
    <x:row r="449" ht="40" customHeight="1">
      <x:c r="A449" s="39" t="str">
        <x:v>SRC00448</x:v>
      </x:c>
      <x:c r="B449" s="39" t="str">
        <x:v>https://concept.vc/team-members/reece-chowdhry</x:v>
      </x:c>
      <x:c r="C449" s="39" t="str">
        <x:v>concept.vc</x:v>
      </x:c>
      <x:c r="D449" s="39" t="str">
        <x:v>Sinal pessoal público</x:v>
      </x:c>
      <x:c r="E449" s="39" t="str">
        <x:v>Sinal pessoal</x:v>
      </x:c>
      <x:c r="F449" s="39" t="str">
        <x:v>SIG0022</x:v>
      </x:c>
      <x:c r="G449" s="44" t="str">
        <x:v>2026-09-09</x:v>
      </x:c>
      <x:c r="H449" s="39" t="str">
        <x:v>Ativa</x:v>
      </x:c>
      <x:c r="I449" s="39" t="str">
        <x:v>Fonte pública; verificar novamente antes de outreach.</x:v>
      </x:c>
    </x:row>
    <x:row r="450" ht="40" customHeight="1">
      <x:c r="A450" s="39" t="str">
        <x:v>SRC00449</x:v>
      </x:c>
      <x:c r="B450" s="39" t="str">
        <x:v>https://concept.vc/team-members/reece-chowdhry</x:v>
      </x:c>
      <x:c r="C450" s="39" t="str">
        <x:v>concept.vc</x:v>
      </x:c>
      <x:c r="D450" s="39" t="str">
        <x:v>Sinal pessoal público</x:v>
      </x:c>
      <x:c r="E450" s="39" t="str">
        <x:v>Sinal pessoal</x:v>
      </x:c>
      <x:c r="F450" s="39" t="str">
        <x:v>SIG0023</x:v>
      </x:c>
      <x:c r="G450" s="44" t="str">
        <x:v>2026-09-09</x:v>
      </x:c>
      <x:c r="H450" s="39" t="str">
        <x:v>Ativa</x:v>
      </x:c>
      <x:c r="I450" s="39" t="str">
        <x:v>Fonte pública; verificar novamente antes de outreach.</x:v>
      </x:c>
    </x:row>
    <x:row r="451" ht="40" customHeight="1">
      <x:c r="A451" s="39" t="str">
        <x:v>SRC00450</x:v>
      </x:c>
      <x:c r="B451" s="39" t="str">
        <x:v>https://concept.vc/team-members/oliver-kicks</x:v>
      </x:c>
      <x:c r="C451" s="39" t="str">
        <x:v>concept.vc</x:v>
      </x:c>
      <x:c r="D451" s="39" t="str">
        <x:v>Sinal pessoal público</x:v>
      </x:c>
      <x:c r="E451" s="39" t="str">
        <x:v>Sinal pessoal</x:v>
      </x:c>
      <x:c r="F451" s="39" t="str">
        <x:v>SIG0024</x:v>
      </x:c>
      <x:c r="G451" s="44" t="str">
        <x:v>2026-09-09</x:v>
      </x:c>
      <x:c r="H451" s="39" t="str">
        <x:v>Ativa</x:v>
      </x:c>
      <x:c r="I451" s="39" t="str">
        <x:v>Fonte pública; verificar novamente antes de outreach.</x:v>
      </x:c>
    </x:row>
    <x:row r="452" ht="40" customHeight="1">
      <x:c r="A452" s="39" t="str">
        <x:v>SRC00451</x:v>
      </x:c>
      <x:c r="B452" s="39" t="str">
        <x:v>https://concept.vc/team-members/jeff-chowdhry</x:v>
      </x:c>
      <x:c r="C452" s="39" t="str">
        <x:v>concept.vc</x:v>
      </x:c>
      <x:c r="D452" s="39" t="str">
        <x:v>Sinal pessoal público</x:v>
      </x:c>
      <x:c r="E452" s="39" t="str">
        <x:v>Sinal pessoal</x:v>
      </x:c>
      <x:c r="F452" s="39" t="str">
        <x:v>SIG0025</x:v>
      </x:c>
      <x:c r="G452" s="44" t="str">
        <x:v>2026-09-09</x:v>
      </x:c>
      <x:c r="H452" s="39" t="str">
        <x:v>Ativa</x:v>
      </x:c>
      <x:c r="I452" s="39" t="str">
        <x:v>Fonte pública; verificar novamente antes de outreach.</x:v>
      </x:c>
    </x:row>
    <x:row r="453" ht="40" customHeight="1">
      <x:c r="A453" s="39" t="str">
        <x:v>SRC00452</x:v>
      </x:c>
      <x:c r="B453" s="39" t="str">
        <x:v>https://concept.vc/team-members/hugo-hazon</x:v>
      </x:c>
      <x:c r="C453" s="39" t="str">
        <x:v>concept.vc</x:v>
      </x:c>
      <x:c r="D453" s="39" t="str">
        <x:v>Sinal pessoal público</x:v>
      </x:c>
      <x:c r="E453" s="39" t="str">
        <x:v>Sinal pessoal</x:v>
      </x:c>
      <x:c r="F453" s="39" t="str">
        <x:v>SIG0026</x:v>
      </x:c>
      <x:c r="G453" s="44" t="str">
        <x:v>2026-09-09</x:v>
      </x:c>
      <x:c r="H453" s="39" t="str">
        <x:v>Ativa</x:v>
      </x:c>
      <x:c r="I453" s="39" t="str">
        <x:v>Fonte pública; verificar novamente antes de outreach.</x:v>
      </x:c>
    </x:row>
    <x:row r="454" ht="40" customHeight="1">
      <x:c r="A454" s="39" t="str">
        <x:v>SRC00453</x:v>
      </x:c>
      <x:c r="B454" s="39" t="str">
        <x:v>https://concept.vc/team-members/anrea</x:v>
      </x:c>
      <x:c r="C454" s="39" t="str">
        <x:v>concept.vc</x:v>
      </x:c>
      <x:c r="D454" s="39" t="str">
        <x:v>Sinal pessoal público</x:v>
      </x:c>
      <x:c r="E454" s="39" t="str">
        <x:v>Sinal pessoal</x:v>
      </x:c>
      <x:c r="F454" s="39" t="str">
        <x:v>SIG0027</x:v>
      </x:c>
      <x:c r="G454" s="44" t="str">
        <x:v>2026-09-09</x:v>
      </x:c>
      <x:c r="H454" s="39" t="str">
        <x:v>Ativa</x:v>
      </x:c>
      <x:c r="I454" s="39" t="str">
        <x:v>Fonte pública; verificar novamente antes de outreach.</x:v>
      </x:c>
    </x:row>
    <x:row r="455" ht="40" customHeight="1">
      <x:c r="A455" s="39" t="str">
        <x:v>SRC00454</x:v>
      </x:c>
      <x:c r="B455" s="39" t="str">
        <x:v>https://concept.vc/team-members/kudei-sawyer-moses</x:v>
      </x:c>
      <x:c r="C455" s="39" t="str">
        <x:v>concept.vc</x:v>
      </x:c>
      <x:c r="D455" s="39" t="str">
        <x:v>Sinal pessoal público</x:v>
      </x:c>
      <x:c r="E455" s="39" t="str">
        <x:v>Sinal pessoal</x:v>
      </x:c>
      <x:c r="F455" s="39" t="str">
        <x:v>SIG0028</x:v>
      </x:c>
      <x:c r="G455" s="44" t="str">
        <x:v>2026-09-09</x:v>
      </x:c>
      <x:c r="H455" s="39" t="str">
        <x:v>Ativa</x:v>
      </x:c>
      <x:c r="I455" s="39" t="str">
        <x:v>Fonte pública; verificar novamente antes de outreach.</x:v>
      </x:c>
    </x:row>
    <x:row r="456" ht="40" customHeight="1">
      <x:c r="A456" s="39" t="str">
        <x:v>SRC00455</x:v>
      </x:c>
      <x:c r="B456" s="39" t="str">
        <x:v>https://it.linkedin.com/in/luigi-lonardi-3609a9118</x:v>
      </x:c>
      <x:c r="C456" s="39" t="str">
        <x:v>it.linkedin.com</x:v>
      </x:c>
      <x:c r="D456" s="39" t="str">
        <x:v>Sinal pessoal público</x:v>
      </x:c>
      <x:c r="E456" s="39" t="str">
        <x:v>Sinal pessoal</x:v>
      </x:c>
      <x:c r="F456" s="39" t="str">
        <x:v>SIG0029</x:v>
      </x:c>
      <x:c r="G456" s="44" t="str">
        <x:v>2026-09-09</x:v>
      </x:c>
      <x:c r="H456" s="39" t="str">
        <x:v>Ativa</x:v>
      </x:c>
      <x:c r="I456" s="39" t="str">
        <x:v>Fonte pública; verificar novamente antes de outreach.</x:v>
      </x:c>
    </x:row>
    <x:row r="457" ht="40" customHeight="1">
      <x:c r="A457" s="39" t="str">
        <x:v>SRC00456</x:v>
      </x:c>
      <x:c r="B457" s="39" t="str">
        <x:v>https://korys.be/</x:v>
      </x:c>
      <x:c r="C457" s="39" t="str">
        <x:v>korys.be</x:v>
      </x:c>
      <x:c r="D457" s="39" t="str">
        <x:v>Identidade e tese</x:v>
      </x:c>
      <x:c r="E457" s="39" t="str">
        <x:v>Evidência complementar</x:v>
      </x:c>
      <x:c r="F457" s="39" t="str">
        <x:v>INV028</x:v>
      </x:c>
      <x:c r="G457" s="44" t="str">
        <x:v>2026-09-09</x:v>
      </x:c>
      <x:c r="H457" s="39" t="str">
        <x:v>Ativa</x:v>
      </x:c>
      <x:c r="I457" s="39" t="str">
        <x:v>Fonte pública; verificar novamente antes de outreach.</x:v>
      </x:c>
    </x:row>
    <x:row r="458" ht="40" customHeight="1">
      <x:c r="A458" s="39" t="str">
        <x:v>SRC00457</x:v>
      </x:c>
      <x:c r="B458" s="39" t="str">
        <x:v>https://www.vlaio.be/en/download/pdf?file=generated-pdf%2Frisicokapitaalverschaffer-korys_direct_investments-7362.pdf</x:v>
      </x:c>
      <x:c r="C458" s="39" t="str">
        <x:v>www.vlaio.be</x:v>
      </x:c>
      <x:c r="D458" s="39" t="str">
        <x:v>Emails profissionais publicados</x:v>
      </x:c>
      <x:c r="E458" s="39" t="str">
        <x:v>Evidência complementar</x:v>
      </x:c>
      <x:c r="F458" s="39" t="str">
        <x:v>PER0219</x:v>
      </x:c>
      <x:c r="G458" s="44" t="str">
        <x:v>2026-09-09</x:v>
      </x:c>
      <x:c r="H458" s="39" t="str">
        <x:v>Ativa</x:v>
      </x:c>
      <x:c r="I458" s="39" t="str">
        <x:v>Fonte pública; verificar novamente antes de outreach.</x:v>
      </x:c>
    </x:row>
    <x:row r="459" ht="40" customHeight="1">
      <x:c r="A459" s="39" t="str">
        <x:v>SRC00458</x:v>
      </x:c>
      <x:c r="B459" s="39" t="str">
        <x:v>https://www.vlaio.be/en/download/pdf?file=generated-pdf%2Frisicokapitaalverschaffer-korys_direct_investments-7362.pdf</x:v>
      </x:c>
      <x:c r="C459" s="39" t="str">
        <x:v>www.vlaio.be</x:v>
      </x:c>
      <x:c r="D459" s="39" t="str">
        <x:v>Emails profissionais publicados</x:v>
      </x:c>
      <x:c r="E459" s="39" t="str">
        <x:v>Evidência complementar</x:v>
      </x:c>
      <x:c r="F459" s="39" t="str">
        <x:v>PER0220</x:v>
      </x:c>
      <x:c r="G459" s="44" t="str">
        <x:v>2026-09-09</x:v>
      </x:c>
      <x:c r="H459" s="39" t="str">
        <x:v>Ativa</x:v>
      </x:c>
      <x:c r="I459" s="39" t="str">
        <x:v>Fonte pública; verificar novamente antes de outreach.</x:v>
      </x:c>
    </x:row>
    <x:row r="460" ht="40" customHeight="1">
      <x:c r="A460" s="39" t="str">
        <x:v>SRC00459</x:v>
      </x:c>
      <x:c r="B460" s="39" t="str">
        <x:v>https://www.vlaio.be/en/download/pdf?file=generated-pdf%2Frisicokapitaalverschaffer-korys_direct_investments-7362.pdf</x:v>
      </x:c>
      <x:c r="C460" s="39" t="str">
        <x:v>www.vlaio.be</x:v>
      </x:c>
      <x:c r="D460" s="39" t="str">
        <x:v>Emails profissionais publicados</x:v>
      </x:c>
      <x:c r="E460" s="39" t="str">
        <x:v>Evidência complementar</x:v>
      </x:c>
      <x:c r="F460" s="39" t="str">
        <x:v>PER0221</x:v>
      </x:c>
      <x:c r="G460" s="44" t="str">
        <x:v>2026-09-09</x:v>
      </x:c>
      <x:c r="H460" s="39" t="str">
        <x:v>Ativa</x:v>
      </x:c>
      <x:c r="I460" s="39" t="str">
        <x:v>Fonte pública; verificar novamente antes de outreach.</x:v>
      </x:c>
    </x:row>
    <x:row r="461" ht="40" customHeight="1">
      <x:c r="A461" s="39" t="str">
        <x:v>SRC00460</x:v>
      </x:c>
      <x:c r="B461" s="39" t="str">
        <x:v>https://korys.be/our-team/</x:v>
      </x:c>
      <x:c r="C461" s="39" t="str">
        <x:v>korys.be</x:v>
      </x:c>
      <x:c r="D461" s="39" t="str">
        <x:v>Cargo atual</x:v>
      </x:c>
      <x:c r="E461" s="39" t="str">
        <x:v>Evidência complementar</x:v>
      </x:c>
      <x:c r="F461" s="39" t="str">
        <x:v>PER0221</x:v>
      </x:c>
      <x:c r="G461" s="44" t="str">
        <x:v>2026-09-09</x:v>
      </x:c>
      <x:c r="H461" s="39" t="str">
        <x:v>Ativa</x:v>
      </x:c>
      <x:c r="I461" s="39" t="str">
        <x:v>Fonte pública; verificar novamente antes de outreach.</x:v>
      </x:c>
    </x:row>
    <x:row r="462" ht="40" customHeight="1">
      <x:c r="A462" s="39" t="str">
        <x:v>SRC00461</x:v>
      </x:c>
      <x:c r="B462" s="39" t="str">
        <x:v>https://www.newdealadvisors.com/wp-content/uploads/2023/11/dealfloer-h14-weroad-27.11.pdf</x:v>
      </x:c>
      <x:c r="C462" s="39" t="str">
        <x:v>www.newdealadvisors.com</x:v>
      </x:c>
      <x:c r="D462" s="39" t="str">
        <x:v>Cargo na data do anúncio</x:v>
      </x:c>
      <x:c r="E462" s="39" t="str">
        <x:v>Evidência complementar</x:v>
      </x:c>
      <x:c r="F462" s="39" t="str">
        <x:v>PER0222</x:v>
      </x:c>
      <x:c r="G462" s="44" t="str">
        <x:v>2026-09-09</x:v>
      </x:c>
      <x:c r="H462" s="39" t="str">
        <x:v>Ativa</x:v>
      </x:c>
      <x:c r="I462" s="39" t="str">
        <x:v>Fonte pública; verificar novamente antes de outreach.</x:v>
      </x:c>
    </x:row>
    <x:row r="463" ht="40" customHeight="1">
      <x:c r="A463" s="39" t="str">
        <x:v>SRC00462</x:v>
      </x:c>
      <x:c r="B463" s="39" t="str">
        <x:v>https://www.calcioefinanza.it/2024/01/11/luigi-berlusconi-soci-vip-holding/</x:v>
      </x:c>
      <x:c r="C463" s="39" t="str">
        <x:v>www.calcioefinanza.it</x:v>
      </x:c>
      <x:c r="D463" s="39" t="str">
        <x:v>Cargo histórico — 2024</x:v>
      </x:c>
      <x:c r="E463" s="39" t="str">
        <x:v>Evidência complementar</x:v>
      </x:c>
      <x:c r="F463" s="39" t="str">
        <x:v>PER0223</x:v>
      </x:c>
      <x:c r="G463" s="44" t="str">
        <x:v>2026-09-09</x:v>
      </x:c>
      <x:c r="H463" s="39" t="str">
        <x:v>Ativa</x:v>
      </x:c>
      <x:c r="I463" s="39" t="str">
        <x:v>Fonte pública; verificar novamente antes de outreach.</x:v>
      </x:c>
    </x:row>
    <x:row r="464" ht="40" customHeight="1">
      <x:c r="A464" s="39" t="str">
        <x:v>SRC00463</x:v>
      </x:c>
      <x:c r="B464" s="39" t="str">
        <x:v>https://pe2026.com/</x:v>
      </x:c>
      <x:c r="C464" s="39" t="str">
        <x:v>pe2026.com</x:v>
      </x:c>
      <x:c r="D464" s="39" t="str">
        <x:v>Filiação profissional declarada</x:v>
      </x:c>
      <x:c r="E464" s="39" t="str">
        <x:v>Evidência complementar</x:v>
      </x:c>
      <x:c r="F464" s="39" t="str">
        <x:v>PER0225</x:v>
      </x:c>
      <x:c r="G464" s="44" t="str">
        <x:v>2026-09-09</x:v>
      </x:c>
      <x:c r="H464" s="39" t="str">
        <x:v>Ativa</x:v>
      </x:c>
      <x:c r="I464" s="39" t="str">
        <x:v>Fonte pública; verificar novamente antes de outreach.</x:v>
      </x:c>
    </x:row>
    <x:row r="465" ht="40" customHeight="1">
      <x:c r="A465" s="39" t="str">
        <x:v>SRC00464</x:v>
      </x:c>
      <x:c r="B465" s="39" t="str">
        <x:v>https://uk.linkedin.com/in/alexandermfink</x:v>
      </x:c>
      <x:c r="C465" s="39" t="str">
        <x:v>uk.linkedin.com</x:v>
      </x:c>
      <x:c r="D465" s="39" t="str">
        <x:v>Filiação adicional Empirical</x:v>
      </x:c>
      <x:c r="E465" s="39" t="str">
        <x:v>Evidência complementar</x:v>
      </x:c>
      <x:c r="F465" s="39" t="str">
        <x:v>INV035</x:v>
      </x:c>
      <x:c r="G465" s="44" t="str">
        <x:v>2026-09-09</x:v>
      </x:c>
      <x:c r="H465" s="39" t="str">
        <x:v>Ativa</x:v>
      </x:c>
      <x:c r="I465" s="39" t="str">
        <x:v>Fonte pública; verificar novamente antes de outreach.</x:v>
      </x:c>
    </x:row>
    <x:row r="466" ht="40" customHeight="1">
      <x:c r="A466" s="39" t="str">
        <x:v>SRC00465</x:v>
      </x:c>
      <x:c r="B466" s="39" t="str">
        <x:v>https://bo.linkedin.com/company/dig-ventures</x:v>
      </x:c>
      <x:c r="C466" s="39" t="str">
        <x:v>bo.linkedin.com</x:v>
      </x:c>
      <x:c r="D466" s="39" t="str">
        <x:v>Sede e geografia</x:v>
      </x:c>
      <x:c r="E466" s="39" t="str">
        <x:v>Evidência complementar</x:v>
      </x:c>
      <x:c r="F466" s="39" t="str">
        <x:v>INV031</x:v>
      </x:c>
      <x:c r="G466" s="44" t="str">
        <x:v>2026-09-09</x:v>
      </x:c>
      <x:c r="H466" s="39" t="str">
        <x:v>Ativa</x:v>
      </x:c>
      <x:c r="I466" s="39" t="str">
        <x:v>Fonte pública; verificar novamente antes de outreach.</x:v>
      </x:c>
    </x:row>
    <x:row r="467" ht="40" customHeight="1">
      <x:c r="A467" s="39" t="str">
        <x:v>SRC00466</x:v>
      </x:c>
      <x:c r="B467" s="39" t="str">
        <x:v>https://www.linkedin.com/posts/ross-mason_a-proud-moment-for-the-dig-ventures-team-activity-7316021223954501634-0mPN</x:v>
      </x:c>
      <x:c r="C467" s="39" t="str">
        <x:v>www.linkedin.com</x:v>
      </x:c>
      <x:c r="D467" s="39" t="str">
        <x:v>Classificação atual como VC</x:v>
      </x:c>
      <x:c r="E467" s="39" t="str">
        <x:v>Evidência complementar</x:v>
      </x:c>
      <x:c r="F467" s="39" t="str">
        <x:v>INV031</x:v>
      </x:c>
      <x:c r="G467" s="44" t="str">
        <x:v>2026-09-09</x:v>
      </x:c>
      <x:c r="H467" s="39" t="str">
        <x:v>Ativa</x:v>
      </x:c>
      <x:c r="I467" s="39" t="str">
        <x:v>Fonte pública; verificar novamente antes de outreach.</x:v>
      </x:c>
    </x:row>
    <x:row r="468" ht="40" customHeight="1">
      <x:c r="A468" s="39" t="str">
        <x:v>SRC00467</x:v>
      </x:c>
      <x:c r="B468" s="39" t="str">
        <x:v>https://www.smedvig.com/venture-capital/</x:v>
      </x:c>
      <x:c r="C468" s="39" t="str">
        <x:v>www.smedvig.com</x:v>
      </x:c>
      <x:c r="D468" s="39" t="str">
        <x:v>Ligação à família Smedvig</x:v>
      </x:c>
      <x:c r="E468" s="39" t="str">
        <x:v>Evidência complementar</x:v>
      </x:c>
      <x:c r="F468" s="39" t="str">
        <x:v>INV032</x:v>
      </x:c>
      <x:c r="G468" s="44" t="str">
        <x:v>2026-09-09</x:v>
      </x:c>
      <x:c r="H468" s="39" t="str">
        <x:v>Ativa</x:v>
      </x:c>
      <x:c r="I468" s="39" t="str">
        <x:v>Fonte pública; verificar novamente antes de outreach.</x:v>
      </x:c>
    </x:row>
    <x:row r="469" ht="40" customHeight="1">
      <x:c r="A469" s="39" t="str">
        <x:v>SRC00468</x:v>
      </x:c>
      <x:c r="B469" s="39" t="str">
        <x:v>https://www.siliconroundabout.org.uk/2022/05/jon-lerner-partner-at-smedvig-capital-q-a/</x:v>
      </x:c>
      <x:c r="C469" s="39" t="str">
        <x:v>www.siliconroundabout.org.uk</x:v>
      </x:c>
      <x:c r="D469" s="39" t="str">
        <x:v>Percurso anterior</x:v>
      </x:c>
      <x:c r="E469" s="39" t="str">
        <x:v>Evidência complementar</x:v>
      </x:c>
      <x:c r="F469" s="39" t="str">
        <x:v>PER0229</x:v>
      </x:c>
      <x:c r="G469" s="44" t="str">
        <x:v>2026-09-09</x:v>
      </x:c>
      <x:c r="H469" s="39" t="str">
        <x:v>Ativa</x:v>
      </x:c>
      <x:c r="I469" s="39" t="str">
        <x:v>Fonte pública; verificar novamente antes de outreach.</x:v>
      </x:c>
    </x:row>
    <x:row r="470" ht="40" customHeight="1">
      <x:c r="A470" s="39" t="str">
        <x:v>SRC00469</x:v>
      </x:c>
      <x:c r="B470" s="39" t="str">
        <x:v>https://unicorn-nest.com/media/interviews/adrian-lloyd-episode-1-ventures/</x:v>
      </x:c>
      <x:c r="C470" s="39" t="str">
        <x:v>unicorn-nest.com</x:v>
      </x:c>
      <x:c r="D470" s="39" t="str">
        <x:v>Percurso anterior</x:v>
      </x:c>
      <x:c r="E470" s="39" t="str">
        <x:v>Evidência complementar</x:v>
      </x:c>
      <x:c r="F470" s="39" t="str">
        <x:v>PER0238</x:v>
      </x:c>
      <x:c r="G470" s="44" t="str">
        <x:v>2026-09-09</x:v>
      </x:c>
      <x:c r="H470" s="39" t="str">
        <x:v>Ativa</x:v>
      </x:c>
      <x:c r="I470" s="39" t="str">
        <x:v>Fonte pública; verificar novamente antes de outreach.</x:v>
      </x:c>
    </x:row>
    <x:row r="471" ht="40" customHeight="1">
      <x:c r="A471" s="39" t="str">
        <x:v>SRC00470</x:v>
      </x:c>
      <x:c r="B471" s="39" t="str">
        <x:v>https://www.empiricalventures.vc/our-investment-process</x:v>
      </x:c>
      <x:c r="C471" s="39" t="str">
        <x:v>www.empiricalventures.vc</x:v>
      </x:c>
      <x:c r="D471" s="39" t="str">
        <x:v>Processo e comité</x:v>
      </x:c>
      <x:c r="E471" s="39" t="str">
        <x:v>Evidência complementar</x:v>
      </x:c>
      <x:c r="F471" s="39" t="str">
        <x:v>INV035</x:v>
      </x:c>
      <x:c r="G471" s="44" t="str">
        <x:v>2026-09-09</x:v>
      </x:c>
      <x:c r="H471" s="39" t="str">
        <x:v>Ativa</x:v>
      </x:c>
      <x:c r="I471" s="39" t="str">
        <x:v>Fonte pública; verificar novamente antes de outreach.</x:v>
      </x:c>
    </x:row>
    <x:row r="472" ht="40" customHeight="1">
      <x:c r="A472" s="39" t="str">
        <x:v>SRC00471</x:v>
      </x:c>
      <x:c r="B472" s="39" t="str">
        <x:v>https://www.episode1.com/data-platform</x:v>
      </x:c>
      <x:c r="C472" s="39" t="str">
        <x:v>www.episode1.com</x:v>
      </x:c>
      <x:c r="D472" s="39" t="str">
        <x:v>Ferramenta interna — possível sobreposição</x:v>
      </x:c>
      <x:c r="E472" s="39" t="str">
        <x:v>Evidência complementar</x:v>
      </x:c>
      <x:c r="F472" s="39" t="str">
        <x:v>INV033</x:v>
      </x:c>
      <x:c r="G472" s="44" t="str">
        <x:v>2026-09-09</x:v>
      </x:c>
      <x:c r="H472" s="39" t="str">
        <x:v>Ativa</x:v>
      </x:c>
      <x:c r="I472" s="39" t="str">
        <x:v>Fonte pública; verificar novamente antes de outreach.</x:v>
      </x:c>
    </x:row>
  </x:sheetData>
  <x:pageMargins left="0.7" right="0.7" top="0.75" bottom="0.75" header="0.3" footer="0.3"/>
  <x:tableParts count="1">
    <x:tablePart xmlns:r="http://schemas.openxmlformats.org/officeDocument/2006/relationships" r:id="R0174eb3d85114c3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0" hidden="0" customWidth="1"/>
    <x:col min="3" max="3" width="52" hidden="0" customWidth="1"/>
  </x:cols>
  <x:sheetData>
    <x:row r="1" ht="34" customHeight="1">
      <x:c r="A1" s="3" t="str">
        <x:v>Método e definições</x:v>
      </x:c>
    </x:row>
    <x:row r="2" ht="28" customHeight="1">
      <x:c r="A2" s="6" t="str">
        <x:v>Como interpretar e manter a base sem confundir cobertura nominal com pesquisa aprofundada.</x:v>
      </x:c>
    </x:row>
    <x:row r="4">
      <x:c r="A4" s="51" t="str">
        <x:v>Campo / conceito</x:v>
      </x:c>
      <x:c r="B4" s="51" t="str">
        <x:v>Definição</x:v>
      </x:c>
      <x:c r="C4" s="51" t="str">
        <x:v>Regra de qualidade</x:v>
      </x:c>
    </x:row>
    <x:row r="5" ht="54" customHeight="1">
      <x:c r="A5" s="52" t="str">
        <x:v>Decisor = Sim</x:v>
      </x:c>
      <x:c r="B5" s="52" t="str">
        <x:v>Partner, GP, Managing Partner, membro explícito de IC ou liderança executiva com poder de investimento.</x:v>
      </x:c>
      <x:c r="C5" s="52" t="str">
        <x:v>Confirmar no site da entidade antes de outreach.</x:v>
      </x:c>
    </x:row>
    <x:row r="6" ht="54" customHeight="1">
      <x:c r="A6" s="52" t="str">
        <x:v>Decisor = Rever</x:v>
      </x:c>
      <x:c r="B6" s="52" t="str">
        <x:v>Pessoa da equipa de investimento ou venture partner cuja autoridade final não está publicada.</x:v>
      </x:c>
      <x:c r="C6" s="52" t="str">
        <x:v>Não assumir poder de decisão.</x:v>
      </x:c>
    </x:row>
    <x:row r="7" ht="54" customHeight="1">
      <x:c r="A7" s="52" t="str">
        <x:v>Estado = Enriquecido</x:v>
      </x:c>
      <x:c r="B7" s="52" t="str">
        <x:v>Função + foco/percurso + hook sustentado + fonte pública.</x:v>
      </x:c>
      <x:c r="C7" s="52" t="str">
        <x:v>É o nível prioritário para personalização.</x:v>
      </x:c>
    </x:row>
    <x:row r="8" ht="54" customHeight="1">
      <x:c r="A8" s="52" t="str">
        <x:v>Estado = Parcial</x:v>
      </x:c>
      <x:c r="B8" s="52" t="str">
        <x:v>Tem função e algum contexto, mas falta conteúdo próprio ou percurso completo.</x:v>
      </x:c>
      <x:c r="C8" s="52" t="str">
        <x:v>Completar antes de outreach de alto valor.</x:v>
      </x:c>
    </x:row>
    <x:row r="9" ht="54" customHeight="1">
      <x:c r="A9" s="52" t="str">
        <x:v>Estado = Base</x:v>
      </x:c>
      <x:c r="B9" s="52" t="str">
        <x:v>Nome e função identificados; profundidade ainda limitada.</x:v>
      </x:c>
      <x:c r="C9" s="52" t="str">
        <x:v>Serve para cobertura, não para personalização forte.</x:v>
      </x:c>
    </x:row>
    <x:row r="10" ht="54" customHeight="1">
      <x:c r="A10" s="52" t="str">
        <x:v>Confiança Alta</x:v>
      </x:c>
      <x:c r="B10" s="52" t="str">
        <x:v>Fonte oficial atual e informação explícita.</x:v>
      </x:c>
      <x:c r="C10" s="52" t="str">
        <x:v>Mesmo assim rever cargo na data de contacto.</x:v>
      </x:c>
    </x:row>
    <x:row r="11" ht="54" customHeight="1">
      <x:c r="A11" s="52" t="str">
        <x:v>Confiança Média</x:v>
      </x:c>
      <x:c r="B11" s="52" t="str">
        <x:v>Fonte oficial incompleta, agregada ou com ambiguidade.</x:v>
      </x:c>
      <x:c r="C11" s="52" t="str">
        <x:v>Exige verificação adicional.</x:v>
      </x:c>
    </x:row>
    <x:row r="12" ht="54" customHeight="1">
      <x:c r="A12" s="52" t="str">
        <x:v>Ticket</x:v>
      </x:c>
      <x:c r="B12" s="52" t="str">
        <x:v>Valores em milhões na moeda indicada.</x:v>
      </x:c>
      <x:c r="C12" s="52" t="str">
        <x:v>Não converter moeda nem confundir fund size, round size e cheque.</x:v>
      </x:c>
    </x:row>
    <x:row r="13" ht="54" customHeight="1">
      <x:c r="A13" s="52" t="str">
        <x:v>Contacto pessoal</x:v>
      </x:c>
      <x:c r="B13" s="52" t="str">
        <x:v>Só é incluído se publicado numa fonte pública confiável.</x:v>
      </x:c>
      <x:c r="C13" s="52" t="str">
        <x:v>Nunca inferir padrão de email nem número de telemóvel.</x:v>
      </x:c>
    </x:row>
    <x:row r="14" ht="54" customHeight="1">
      <x:c r="A14" s="52" t="str">
        <x:v>Sinal pessoal público</x:v>
      </x:c>
      <x:c r="B14" s="52" t="str">
        <x:v>Interesse, percurso ou causa que a própria pessoa tornou pública.</x:v>
      </x:c>
      <x:c r="C14" s="52" t="str">
        <x:v>Usar apenas com relevância real e classificar adequação e sensibilidade.</x:v>
      </x:c>
    </x:row>
    <x:row r="15" ht="54" customHeight="1">
      <x:c r="A15" s="52" t="str">
        <x:v>Dado pessoal sensível</x:v>
      </x:c>
      <x:c r="B15" s="52" t="str">
        <x:v>Saúde, luto, filhos, religião, sexualidade ou vulnerabilidades íntimas.</x:v>
      </x:c>
      <x:c r="C15" s="52" t="str">
        <x:v>Não recolher nem usar como técnica de abordagem. Registar apenas uma causa pública, sem a tragédia subjacente.</x:v>
      </x:c>
    </x:row>
    <x:row r="16" ht="54" customHeight="1">
      <x:c r="A16" s="52" t="str">
        <x:v>Hook</x:v>
      </x:c>
      <x:c r="B16" s="52" t="str">
        <x:v>Ponto de entrada baseado em conteúdo, tese, percurso ou investimento público.</x:v>
      </x:c>
      <x:c r="C16" s="52" t="str">
        <x:v>Usar como contexto; não fingir intimidade.</x:v>
      </x:c>
    </x:row>
    <x:row r="17" ht="54" customHeight="1">
      <x:c r="A17" s="52" t="str">
        <x:v>Fonte</x:v>
      </x:c>
      <x:c r="B17" s="52" t="str">
        <x:v>URL que suporta o campo ou o hook.</x:v>
      </x:c>
      <x:c r="C17" s="52" t="str">
        <x:v>Cada afirmação relevante deve poder ser auditada.</x:v>
      </x:c>
    </x:row>
    <x:row r="19">
      <x:c r="A19" s="53" t="str">
        <x:v>Próxima prioridade</x:v>
      </x:c>
      <x:c r="B19" s="53" t="str">
        <x:v>Objetivo</x:v>
      </x:c>
      <x:c r="C19" s="53" t="str">
        <x:v>Métrica</x:v>
      </x:c>
    </x:row>
    <x:row r="20">
      <x:c r="A20" s="57" t="str">
        <x:v>Enriquecimento de pessoas</x:v>
      </x:c>
      <x:c r="B20" s="57" t="str">
        <x:v>Aumentar perfis com conteúdo próprio e percurso verificado.</x:v>
      </x:c>
      <x:c r="C20" s="57" t="str">
        <x:v>Perfis Enriquecidos / Pessoas</x:v>
      </x:c>
    </x:row>
    <x:row r="21">
      <x:c r="A21" s="57" t="str">
        <x:v>Contactos públicos</x:v>
      </x:c>
      <x:c r="B21" s="57" t="str">
        <x:v>Adicionar LinkedIn e email apenas quando expostos publicamente.</x:v>
      </x:c>
      <x:c r="C21" s="57" t="str">
        <x:v>Contactos verificados / Pessoas</x:v>
      </x:c>
    </x:row>
    <x:row r="22">
      <x:c r="A22" s="57" t="str">
        <x:v>Atualização</x:v>
      </x:c>
      <x:c r="B22" s="57" t="str">
        <x:v>Rever cargos, tese e tickets periodicamente.</x:v>
      </x:c>
      <x:c r="C22" s="57" t="str">
        <x:v>Dias desde verificação</x:v>
      </x:c>
    </x:row>
    <x:row r="24">
      <x:c r="A24" s="53" t="str">
        <x:v>Regras do lote 2</x:v>
      </x:c>
      <x:c r="B24" s="53" t="str">
        <x:v>Interpretação</x:v>
      </x:c>
      <x:c r="C24" s="53" t="str">
        <x:v>Aplicação</x:v>
      </x:c>
    </x:row>
    <x:row r="25" ht="58" customHeight="1">
      <x:c r="A25" s="52" t="str">
        <x:v>Opinião e atribuição</x:v>
      </x:c>
      <x:c r="B25" s="52" t="str">
        <x:v>Declaração pessoal, perfil institucional e participação em evento são evidências diferentes.</x:v>
      </x:c>
      <x:c r="C25" s="52" t="str">
        <x:v>Ver Nota_de_Uso. Uma reação/like não prova uma opinião; o hook é uma proposta nossa.</x:v>
      </x:c>
    </x:row>
    <x:row r="26" ht="58" customHeight="1">
      <x:c r="A26" s="52" t="str">
        <x:v>Cargo e decisão</x:v>
      </x:c>
      <x:c r="B26" s="52" t="str">
        <x:v>O cargo atual é distinguido de títulos antigos. Director ou Principal não prova voto no comité.</x:v>
      </x:c>
      <x:c r="C26" s="52" t="str">
        <x:v>Rever = autoridade final não confirmada. Confiança da fonte não é autoridade de decisão.</x:v>
      </x:c>
    </x:row>
    <x:row r="27" ht="58" customHeight="1">
      <x:c r="A27" s="52" t="str">
        <x:v>Datas incompletas</x:v>
      </x:c>
      <x:c r="B27" s="52" t="str">
        <x:v>Um ano ou mês de publicação pode ser conhecido sem dia exato.</x:v>
      </x:c>
      <x:c r="C27" s="52" t="str">
        <x:v>Preservar a precisão da fonte. Datas relativas do LinkedIn não são convertidas em datas exatas.</x:v>
      </x:c>
    </x:row>
    <x:row r="28" ht="58" customHeight="1">
      <x:c r="A28" s="52" t="str">
        <x:v>Referências a fontes</x:v>
      </x:c>
      <x:c r="B28" s="52" t="str">
        <x:v>Várias referências podem apontar à mesma página pública.</x:v>
      </x:c>
      <x:c r="C28" s="52" t="str">
        <x:v>O total de referências não corresponde ao total de páginas distintas nem ao de artigos independentes.</x:v>
      </x:c>
    </x:row>
  </x:sheetData>
  <x:mergeCells>
    <x:mergeCell ref="A1:H1"/>
    <x:mergeCell ref="A2:H2"/>
  </x:mergeCells>
  <x:pageMargins left="0.7" right="0.7" top="0.75" bottom="0.75" header="0.3" footer="0.3"/>
</x:worksheet>
</file>